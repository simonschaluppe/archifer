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0026.NB-MA0026\Documents\CEA_Projekte\Klimagemeinschaften_KEM-Gem\database_adaptiert\"/>
    </mc:Choice>
  </mc:AlternateContent>
  <xr:revisionPtr revIDLastSave="0" documentId="13_ncr:1_{CB2E1B46-7008-4B8A-982F-8A26EEAFCCA6}" xr6:coauthVersionLast="47" xr6:coauthVersionMax="47" xr10:uidLastSave="{00000000-0000-0000-0000-000000000000}"/>
  <bookViews>
    <workbookView xWindow="-18744" yWindow="-17388" windowWidth="3093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G44" i="1"/>
</calcChain>
</file>

<file path=xl/sharedStrings.xml><?xml version="1.0" encoding="utf-8"?>
<sst xmlns="http://schemas.openxmlformats.org/spreadsheetml/2006/main" count="1171" uniqueCount="326">
  <si>
    <t>EFH I_Bis 1919</t>
  </si>
  <si>
    <t>EFH II_1920-44</t>
  </si>
  <si>
    <t>EFH III_1945-59</t>
  </si>
  <si>
    <t>EFH IV_1960-79</t>
  </si>
  <si>
    <t>EFH V_1980-89</t>
  </si>
  <si>
    <t>EFH VI_1990-99</t>
  </si>
  <si>
    <t>EFH VII_2000-20</t>
  </si>
  <si>
    <t>EFH VIII_&gt;2020</t>
  </si>
  <si>
    <t>RH I_Bis 1919</t>
  </si>
  <si>
    <t>RH II_1920-44</t>
  </si>
  <si>
    <t>RH III_1945-59</t>
  </si>
  <si>
    <t>RH IV_1960-79</t>
  </si>
  <si>
    <t>RH V_1980-89</t>
  </si>
  <si>
    <t>RH VI_1990-99</t>
  </si>
  <si>
    <t>RH VII_2000-20</t>
  </si>
  <si>
    <t>RH VIII_&gt;2020</t>
  </si>
  <si>
    <t>MWB I_Bis 1919</t>
  </si>
  <si>
    <t>MWB II_1920-44</t>
  </si>
  <si>
    <t>MWB III_1945-59</t>
  </si>
  <si>
    <t>MWB IV_1960-79</t>
  </si>
  <si>
    <t>MWB V_1980-89</t>
  </si>
  <si>
    <t>MWB VI_1990-99</t>
  </si>
  <si>
    <t>MWB VII_2000-20</t>
  </si>
  <si>
    <t>MWB VIII_&gt;2020</t>
  </si>
  <si>
    <t>IWU Office, Administrative or Government Buildings 1860 - 1978</t>
  </si>
  <si>
    <t>IWU Office, Administrative or Government Buildings 1979 - 2009</t>
  </si>
  <si>
    <t>IWU Office, Administrative or Government Buildings 2010 - 2030</t>
  </si>
  <si>
    <t>IWU Culture and Leisure (5) 1860 - 1978</t>
  </si>
  <si>
    <t>IWU Culture and Leisure (5) 1979 - 2009</t>
  </si>
  <si>
    <t>IWU Culture and Leisure (5) 2010 - 2030</t>
  </si>
  <si>
    <t>IWU Hotels, Boarding, Restaurants or Catering (7) 1860 - 1978</t>
  </si>
  <si>
    <t>IWU Hotels, Boarding, Restaurants or Catering (7) 1979 - 2009</t>
  </si>
  <si>
    <t>IWU Hotels, Boarding, Restaurants or Catering (7) 2010 - 2030</t>
  </si>
  <si>
    <t>IWU Production, Workshop, Warehouse or Operations (8) 1860 - 1978</t>
  </si>
  <si>
    <t>IWU Production, Workshop, Warehouse or Operations (8) 1979 - 2009</t>
  </si>
  <si>
    <t>IWU Production, Workshop, Warehouse or Operations (8) 2010 - 2030</t>
  </si>
  <si>
    <t>IWU Trade Buildings (9) 1860 - 1978</t>
  </si>
  <si>
    <t>IWU Trade Buildings (9) 1979 - 2009</t>
  </si>
  <si>
    <t>IWU Trade Buildings (9) 2010 - 2030</t>
  </si>
  <si>
    <t>IWU Transport (11)  1860 - 1978</t>
  </si>
  <si>
    <t>IWU Transport (11) 1979 - 2009</t>
  </si>
  <si>
    <t>IWU Transport (11) 2010 - 2030</t>
  </si>
  <si>
    <t>type_mass</t>
  </si>
  <si>
    <t>type_leak</t>
  </si>
  <si>
    <t>type_win</t>
  </si>
  <si>
    <t>type_roof</t>
  </si>
  <si>
    <t>type_part</t>
  </si>
  <si>
    <t>type_wall</t>
  </si>
  <si>
    <t>type_floor</t>
  </si>
  <si>
    <t>type_base</t>
  </si>
  <si>
    <t>type_shade</t>
  </si>
  <si>
    <t>Es</t>
  </si>
  <si>
    <t>Hs</t>
  </si>
  <si>
    <t>Ns</t>
  </si>
  <si>
    <t>occupied_bg</t>
  </si>
  <si>
    <t>wwr_north</t>
  </si>
  <si>
    <t>wwr_south</t>
  </si>
  <si>
    <t>wwr_east</t>
  </si>
  <si>
    <t>wwr_west</t>
  </si>
  <si>
    <t>hvac_type_hs</t>
  </si>
  <si>
    <t>hvac_type_cs</t>
  </si>
  <si>
    <t>hvac_type_dhw</t>
  </si>
  <si>
    <t>hvac_type_ctrl</t>
  </si>
  <si>
    <t>hvac_type_vent</t>
  </si>
  <si>
    <t>hvac_heat_starts</t>
  </si>
  <si>
    <t>hvac_heat_ends</t>
  </si>
  <si>
    <t>hvac_cool_starts</t>
  </si>
  <si>
    <t>hvac_cool_ends</t>
  </si>
  <si>
    <t>supply_type_hs</t>
  </si>
  <si>
    <t>supply_type_dhw</t>
  </si>
  <si>
    <t>supply_type_cs</t>
  </si>
  <si>
    <t>supply_type_el</t>
  </si>
  <si>
    <t>CONSTRUCTION_AS3</t>
  </si>
  <si>
    <t>TIGHTNESS_AS7</t>
  </si>
  <si>
    <t>WINDOW_EFH_I</t>
  </si>
  <si>
    <t>ROOF_EFH_I</t>
  </si>
  <si>
    <t>WALL_AS7</t>
  </si>
  <si>
    <t>WALL_EFH_I</t>
  </si>
  <si>
    <t>FLOOR_EFH_I</t>
  </si>
  <si>
    <t>SHADING_AS0</t>
  </si>
  <si>
    <t>HVAC_HEATING_AS1</t>
  </si>
  <si>
    <t>HVAC_COOLING_AS0</t>
  </si>
  <si>
    <t>HVAC_HOTWATER_AS1</t>
  </si>
  <si>
    <t>HVAC_CONTROLLER_AS1</t>
  </si>
  <si>
    <t>HVAC_VENTILATION_AS0</t>
  </si>
  <si>
    <t>16|09</t>
  </si>
  <si>
    <t>30|04</t>
  </si>
  <si>
    <t>01|05</t>
  </si>
  <si>
    <t>15|09</t>
  </si>
  <si>
    <t>SUPPLY_HEATING_AS5</t>
  </si>
  <si>
    <t>SUPPLY_HOTWATER_AS5</t>
  </si>
  <si>
    <t>SUPPLY_COOLING_AS0</t>
  </si>
  <si>
    <t>SUPPLY_ELECTRICITY_AS1</t>
  </si>
  <si>
    <t>TIGHTNESS_AS3</t>
  </si>
  <si>
    <t>SHADING_AS2</t>
  </si>
  <si>
    <t>TIGHTNESS_AS8</t>
  </si>
  <si>
    <t>HVAC_HEATING_AS4</t>
  </si>
  <si>
    <t>HVAC_COOLING_AS5</t>
  </si>
  <si>
    <t>HVAC_CONTROLLER_AS2</t>
  </si>
  <si>
    <t>HVAC_VENTILATION_AS1</t>
  </si>
  <si>
    <t>SUPPLY_COOLING_AS1</t>
  </si>
  <si>
    <t>WINDOW_EFH_II</t>
  </si>
  <si>
    <t>ROOF_EFH_II</t>
  </si>
  <si>
    <t>WALL_EFH_II</t>
  </si>
  <si>
    <t>FLOOR_EFH_II</t>
  </si>
  <si>
    <t>SUPPLY_HEATING_AS3</t>
  </si>
  <si>
    <t>SUPPLY_HOTWATER_AS3</t>
  </si>
  <si>
    <t>WINDOW_EFH_III</t>
  </si>
  <si>
    <t>ROOF_EFH_III</t>
  </si>
  <si>
    <t>WALL_EFH_III</t>
  </si>
  <si>
    <t>FLOOR_EFH_III</t>
  </si>
  <si>
    <t>SUPPLY_HEATING_AS1</t>
  </si>
  <si>
    <t>SUPPLY_HOTWATER_AS1</t>
  </si>
  <si>
    <t>WINDOW_EFH_IV</t>
  </si>
  <si>
    <t>ROOF_EFH_IV</t>
  </si>
  <si>
    <t>WALL_EFH_IV</t>
  </si>
  <si>
    <t>FLOOR_EFH_IV</t>
  </si>
  <si>
    <t>WINDOW_EFH_V</t>
  </si>
  <si>
    <t>ROOF_EFH_V</t>
  </si>
  <si>
    <t>WALL_EFH_V</t>
  </si>
  <si>
    <t>FLOOR_EFH_V</t>
  </si>
  <si>
    <t>WINDOW_EFH_VI</t>
  </si>
  <si>
    <t>ROOF_EFH_VI</t>
  </si>
  <si>
    <t>WALL_EFH_VI</t>
  </si>
  <si>
    <t>FLOOR_EFH_VI</t>
  </si>
  <si>
    <t>WINDOW_EFH_VII</t>
  </si>
  <si>
    <t>ROOF_EFH_VII</t>
  </si>
  <si>
    <t>WALL_EFH_VII</t>
  </si>
  <si>
    <t>FLOOR_EFH_VII</t>
  </si>
  <si>
    <t>WINDOW_EFH_VIII</t>
  </si>
  <si>
    <t>ROOF_EFH_VIII</t>
  </si>
  <si>
    <t>WALL_EFH_VIII</t>
  </si>
  <si>
    <t>FLOOR_EFH_VIII</t>
  </si>
  <si>
    <t>SUPPLY_HEATING_AS7</t>
  </si>
  <si>
    <t>SUPPLY_HOTWATER_AS7</t>
  </si>
  <si>
    <t>WINDOW_RH_I</t>
  </si>
  <si>
    <t>ROOF_RH_I</t>
  </si>
  <si>
    <t>WALL_RH_I</t>
  </si>
  <si>
    <t>FLOOR_RH_I</t>
  </si>
  <si>
    <t>WINDOW_RH_II</t>
  </si>
  <si>
    <t>ROOF_RH_II</t>
  </si>
  <si>
    <t>WALL_RH_II</t>
  </si>
  <si>
    <t>FLOOR_RH_II</t>
  </si>
  <si>
    <t>WINDOW_RH_III</t>
  </si>
  <si>
    <t>ROOF_RH_III</t>
  </si>
  <si>
    <t>WALL_RH_III</t>
  </si>
  <si>
    <t>FLOOR_RH_III</t>
  </si>
  <si>
    <t>SUPPLY_HEATING_AS12</t>
  </si>
  <si>
    <t>SUPPLY_HOTWATER_AS12</t>
  </si>
  <si>
    <t>WINDOW_RH_IV</t>
  </si>
  <si>
    <t>ROOF_RH_IV</t>
  </si>
  <si>
    <t>WALL_RH_IV</t>
  </si>
  <si>
    <t>FLOOR_RH_IV</t>
  </si>
  <si>
    <t>WINDOW_RH_V</t>
  </si>
  <si>
    <t>ROOF_RH_V</t>
  </si>
  <si>
    <t>WALL_RH_V</t>
  </si>
  <si>
    <t>FLOOR_RH_V</t>
  </si>
  <si>
    <t>WINDOW_RH_VI</t>
  </si>
  <si>
    <t>ROOF_RH_VI</t>
  </si>
  <si>
    <t>WALL_RH_VI</t>
  </si>
  <si>
    <t>FLOOR_RH_VI</t>
  </si>
  <si>
    <t>WINDOW_RH_VII</t>
  </si>
  <si>
    <t>ROOF_RH_VII</t>
  </si>
  <si>
    <t>WALL_RH_VII</t>
  </si>
  <si>
    <t>FLOOR_RH_VII</t>
  </si>
  <si>
    <t>WINDOW_RH_VIII</t>
  </si>
  <si>
    <t>ROOF_RH_VIII</t>
  </si>
  <si>
    <t>WALL_RH_VIII</t>
  </si>
  <si>
    <t>FLOOR_RH_VIII</t>
  </si>
  <si>
    <t>WINDOW_MWB_I</t>
  </si>
  <si>
    <t>ROOF_MWB_I</t>
  </si>
  <si>
    <t>WALL_MWB_I</t>
  </si>
  <si>
    <t>FLOOR_MWB_I</t>
  </si>
  <si>
    <t>WINDOW_MWB_II</t>
  </si>
  <si>
    <t>ROOF_MWB_II</t>
  </si>
  <si>
    <t>WALL_MWB_II</t>
  </si>
  <si>
    <t>FLOOR_MWB_II</t>
  </si>
  <si>
    <t>WINDOW_MWB_III</t>
  </si>
  <si>
    <t>ROOF_MWB_III</t>
  </si>
  <si>
    <t>WALL_MWB_III</t>
  </si>
  <si>
    <t>FLOOR_MWB_III</t>
  </si>
  <si>
    <t>WINDOW_MWB_IV</t>
  </si>
  <si>
    <t>ROOF_MWB_IV</t>
  </si>
  <si>
    <t>WALL_MWB_IV</t>
  </si>
  <si>
    <t>FLOOR_MWB_IV</t>
  </si>
  <si>
    <t>WINDOW_MWB_V</t>
  </si>
  <si>
    <t>ROOF_MWB_V</t>
  </si>
  <si>
    <t>WALL_MWB_V</t>
  </si>
  <si>
    <t>FLOOR_MWB_V</t>
  </si>
  <si>
    <t>WINDOW_MWB_VI</t>
  </si>
  <si>
    <t>ROOF_MWB_VI</t>
  </si>
  <si>
    <t>WALL_MWB_VI</t>
  </si>
  <si>
    <t>FLOOR_MWB_VI</t>
  </si>
  <si>
    <t>WINDOW_MWB_VII</t>
  </si>
  <si>
    <t>ROOF_MWB_VII</t>
  </si>
  <si>
    <t>WALL_MWB_VII</t>
  </si>
  <si>
    <t>FLOOR_MWB_VII</t>
  </si>
  <si>
    <t>WINDOW_MWB_VIII</t>
  </si>
  <si>
    <t>ROOF_MWB_VIII</t>
  </si>
  <si>
    <t>WALL_MWB_VIII</t>
  </si>
  <si>
    <t>FLOOR_MWB_VIII</t>
  </si>
  <si>
    <t>WINDOW_NWG_1_A</t>
  </si>
  <si>
    <t>ROOF_NWG_1_A</t>
  </si>
  <si>
    <t>WALL_NWG_1_A</t>
  </si>
  <si>
    <t>FLOOR_NWG_1_A</t>
  </si>
  <si>
    <t>BASE_NWG_1_A</t>
  </si>
  <si>
    <t>SHADING_DE1</t>
  </si>
  <si>
    <t>WINDOW_NWG_1_B</t>
  </si>
  <si>
    <t>ROOF_NWG_1_B</t>
  </si>
  <si>
    <t>WALL_NWG_1_B</t>
  </si>
  <si>
    <t>FLOOR_NWG_1_B</t>
  </si>
  <si>
    <t>BASE_NWG_1_B</t>
  </si>
  <si>
    <t>WINDOW_NWG_1_C</t>
  </si>
  <si>
    <t>ROOF_NWG_1_C</t>
  </si>
  <si>
    <t>WALL_NWG_1_C</t>
  </si>
  <si>
    <t>FLOOR_NWG_1_C</t>
  </si>
  <si>
    <t>BASE_NWG_1_C</t>
  </si>
  <si>
    <t>WINDOW_NWG_5_A</t>
  </si>
  <si>
    <t>ROOF_NWG_5_A</t>
  </si>
  <si>
    <t>WALL_NWG_5_A</t>
  </si>
  <si>
    <t>FLOOR_NWG_5_A</t>
  </si>
  <si>
    <t>BASE_NWG_5_A</t>
  </si>
  <si>
    <t>WINDOW_NWG_5_B</t>
  </si>
  <si>
    <t>ROOF_NWG_5_B</t>
  </si>
  <si>
    <t>WALL_NWG_5_B</t>
  </si>
  <si>
    <t>FLOOR_NWG_5_B</t>
  </si>
  <si>
    <t>BASE_NWG_5_B</t>
  </si>
  <si>
    <t>WINDOW_NWG_5_C</t>
  </si>
  <si>
    <t>ROOF_NWG_5_C</t>
  </si>
  <si>
    <t>WALL_NWG_5_C</t>
  </si>
  <si>
    <t>FLOOR_NWG_5_C</t>
  </si>
  <si>
    <t>BASE_NWG_5_C</t>
  </si>
  <si>
    <t>WINDOW_NWG_7_A</t>
  </si>
  <si>
    <t>ROOF_NWG_7_A</t>
  </si>
  <si>
    <t>WALL_NWG_7_A</t>
  </si>
  <si>
    <t>FLOOR_NWG_7_A</t>
  </si>
  <si>
    <t>BASE_NWG_7_A</t>
  </si>
  <si>
    <t>WINDOW_NWG_7_B</t>
  </si>
  <si>
    <t>ROOF_NWG_7_B</t>
  </si>
  <si>
    <t>WALL_NWG_7_B</t>
  </si>
  <si>
    <t>FLOOR_NWG_7_B</t>
  </si>
  <si>
    <t>BASE_NWG_7_B</t>
  </si>
  <si>
    <t>WINDOW_NWG_7_C</t>
  </si>
  <si>
    <t>ROOF_NWG_7_C</t>
  </si>
  <si>
    <t>WALL_NWG_7_C</t>
  </si>
  <si>
    <t>FLOOR_NWG_7_C</t>
  </si>
  <si>
    <t>BASE_NWG_7_C</t>
  </si>
  <si>
    <t>WINDOW_NWG_8_A</t>
  </si>
  <si>
    <t>ROOF_NWG_8_A</t>
  </si>
  <si>
    <t>WALL_NWG_8_A</t>
  </si>
  <si>
    <t>FLOOR_NWG_8_A</t>
  </si>
  <si>
    <t>BASE_NWG_8_A</t>
  </si>
  <si>
    <t>WINDOW_NWG_8_B</t>
  </si>
  <si>
    <t>ROOF_NWG_8_B</t>
  </si>
  <si>
    <t>WALL_NWG_8_B</t>
  </si>
  <si>
    <t>FLOOR_NWG_8_B</t>
  </si>
  <si>
    <t>BASE_NWG_8_B</t>
  </si>
  <si>
    <t>WINDOW_NWG_8_C</t>
  </si>
  <si>
    <t>ROOF_NWG_8_C</t>
  </si>
  <si>
    <t>WALL_NWG_8_C</t>
  </si>
  <si>
    <t>FLOOR_NWG_8_C</t>
  </si>
  <si>
    <t>BASE_NWG_8_C</t>
  </si>
  <si>
    <t>WINDOW_NWG_9_A</t>
  </si>
  <si>
    <t>ROOF_NWG_9_A</t>
  </si>
  <si>
    <t>WALL_NWG_9_A</t>
  </si>
  <si>
    <t>FLOOR_NWG_9_A</t>
  </si>
  <si>
    <t>BASE_NWG_9_A</t>
  </si>
  <si>
    <t>WINDOW_NWG_9_B</t>
  </si>
  <si>
    <t>ROOF_NWG_9_B</t>
  </si>
  <si>
    <t>WALL_NWG_9_B</t>
  </si>
  <si>
    <t>FLOOR_NWG_9_B</t>
  </si>
  <si>
    <t>BASE_NWG_9_B</t>
  </si>
  <si>
    <t>WINDOW_NWG_9_C</t>
  </si>
  <si>
    <t>ROOF_NWG_9_C</t>
  </si>
  <si>
    <t>WALL_NWG_9_C</t>
  </si>
  <si>
    <t>FLOOR_NWG_9_C</t>
  </si>
  <si>
    <t>BASE_NWG_9_C</t>
  </si>
  <si>
    <t>WINDOW_NWG_11_A</t>
  </si>
  <si>
    <t>ROOF_NWG_11_A</t>
  </si>
  <si>
    <t>WALL_NWG_11_A</t>
  </si>
  <si>
    <t>FLOOR_NWG_11_A</t>
  </si>
  <si>
    <t>BASE_NWG_11_A</t>
  </si>
  <si>
    <t>WINDOW_NWG_11_B</t>
  </si>
  <si>
    <t>ROOF_NWG_11_B</t>
  </si>
  <si>
    <t>WALL_NWG_11_B</t>
  </si>
  <si>
    <t>FLOOR_NWG_11_B</t>
  </si>
  <si>
    <t>BASE_NWG_11_B</t>
  </si>
  <si>
    <t>WINDOW_NWG_11_C</t>
  </si>
  <si>
    <t>ROOF_NWG_11_C</t>
  </si>
  <si>
    <t>WALL_NWG_11_C</t>
  </si>
  <si>
    <t>FLOOR_NWG_11_C</t>
  </si>
  <si>
    <t>BASE_NWG_11_C</t>
  </si>
  <si>
    <t>Gebäude</t>
  </si>
  <si>
    <t>Nettogrundfläche in Quadratmetern</t>
  </si>
  <si>
    <t>Gebaeudetype</t>
  </si>
  <si>
    <t>Nutzung</t>
  </si>
  <si>
    <t>Bauperiode</t>
  </si>
  <si>
    <t>Gebaeudezustand</t>
  </si>
  <si>
    <t>Energieversorgung</t>
  </si>
  <si>
    <t>Einfamilienhaus</t>
  </si>
  <si>
    <t>Reihenhaus</t>
  </si>
  <si>
    <t>Mehrfamilienhaus</t>
  </si>
  <si>
    <t>Büro</t>
  </si>
  <si>
    <t>bis 1919</t>
  </si>
  <si>
    <t>1920-44</t>
  </si>
  <si>
    <t>1945-59</t>
  </si>
  <si>
    <t>1960-79</t>
  </si>
  <si>
    <t>1980-89</t>
  </si>
  <si>
    <t>1990-99</t>
  </si>
  <si>
    <t>2000-20</t>
  </si>
  <si>
    <t>ab 2020</t>
  </si>
  <si>
    <t>Original</t>
  </si>
  <si>
    <t>Kultur, Freizeit, Bildung und Gesundheit</t>
  </si>
  <si>
    <t>Hotels und ähnliche</t>
  </si>
  <si>
    <t>Industrie und Lager</t>
  </si>
  <si>
    <t>Handel</t>
  </si>
  <si>
    <t>Transfort- und Verkehrswesen</t>
  </si>
  <si>
    <t>1860 - 1978</t>
  </si>
  <si>
    <t>1979 - 2009</t>
  </si>
  <si>
    <t>2010 - 2030</t>
  </si>
  <si>
    <t>Stückholz</t>
  </si>
  <si>
    <t>Erdgas</t>
  </si>
  <si>
    <t>Heizöl</t>
  </si>
  <si>
    <t>Holz</t>
  </si>
  <si>
    <t>Fernwärme</t>
  </si>
  <si>
    <t>Wärmepumpe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</si>
</sst>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>
      <protection locked="0"/>
    </xf>
    <xf numFmtId="0" fontId="2" fillId="2" borderId="0">
      <protection locked="0"/>
    </xf>
    <xf numFmtId="0" fontId="2" fillId="3" borderId="1">
      <alignment horizontal="center" vertical="center"/>
      <protection locked="0"/>
    </xf>
    <xf numFmtId="0" fontId="2" fillId="4" borderId="0">
      <protection locked="0"/>
    </xf>
    <xf numFmtId="0" fontId="3" fillId="3" borderId="0">
      <alignment vertical="center"/>
      <protection locked="0"/>
    </xf>
    <xf numFmtId="0" fontId="3" fillId="0" borderId="0">
      <protection locked="0"/>
    </xf>
    <xf numFmtId="0" fontId="4" fillId="0" borderId="0">
      <protection locked="0"/>
    </xf>
    <xf numFmtId="0" fontId="2" fillId="3" borderId="2">
      <alignment vertical="center"/>
      <protection locked="0"/>
    </xf>
    <xf numFmtId="0" fontId="2" fillId="2" borderId="0">
      <protection locked="0"/>
    </xf>
  </cellStyleXfs>
  <cellXfs count="3">
    <xf numFmtId="0" fontId="0" fillId="0" borderId="0" xfId="0"/>
    <xf numFmtId="2" fontId="0" fillId="0" borderId="0" xfId="0" applyNumberFormat="1"/>
    <xf numFmtId="0" fontId="2" fillId="5" borderId="3" xfId="3" applyFill="1" applyBorder="1" applyAlignment="1">
      <alignment horizontal="center" vertical="center" wrapText="1"/>
      <protection locked="0"/>
    </xf>
  </cellXfs>
  <cellStyles count="10">
    <cellStyle name="cells" xfId="2" xr:uid="{A384FD66-3C90-4E4E-A0A0-0982F262B170}"/>
    <cellStyle name="column field" xfId="3" xr:uid="{A1D3F76B-C068-43D5-9D37-4A2200E5FB4B}"/>
    <cellStyle name="field" xfId="4" xr:uid="{3DB08BC6-F871-489A-AA4A-2B93078A9835}"/>
    <cellStyle name="field names" xfId="5" xr:uid="{324876C5-44FC-41D8-BA79-57313CA94017}"/>
    <cellStyle name="footer" xfId="6" xr:uid="{99E062A7-13EB-43C3-B4D1-2E1C9F6C2BAB}"/>
    <cellStyle name="heading" xfId="7" xr:uid="{243A0427-12A8-4F1C-A1BD-AF7BDFBFA9AE}"/>
    <cellStyle name="rowfield" xfId="8" xr:uid="{434B9278-E3BD-46BB-8186-BE9F50519129}"/>
    <cellStyle name="Standard" xfId="0" builtinId="0"/>
    <cellStyle name="Standard 2" xfId="1" xr:uid="{090C2CDD-A5BD-484F-A6B5-18C58A7D17D3}"/>
    <cellStyle name="Test" xfId="9" xr:uid="{61A95D15-80E3-47D6-A842-5E45E24CC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"/>
  <sheetViews>
    <sheetView tabSelected="1" workbookViewId="0">
      <selection activeCell="E1" sqref="C1:E1"/>
    </sheetView>
  </sheetViews>
  <sheetFormatPr baseColWidth="10" defaultColWidth="8.88671875" defaultRowHeight="14.4" x14ac:dyDescent="0.3"/>
  <cols>
    <col min="1" max="1" width="30.6640625" customWidth="1"/>
    <col min="2" max="2" width="28.109375" customWidth="1"/>
    <col min="3" max="3" width="14.6640625" customWidth="1"/>
    <col min="4" max="4" width="17.33203125" customWidth="1"/>
    <col min="5" max="5" width="19.44140625" customWidth="1"/>
    <col min="6" max="6" width="19.33203125" customWidth="1"/>
    <col min="7" max="7" width="22.6640625" customWidth="1"/>
  </cols>
  <sheetData>
    <row r="1" spans="1:37" x14ac:dyDescent="0.3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s="2" t="s">
        <v>292</v>
      </c>
      <c r="G1" s="2" t="s">
        <v>293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</row>
    <row r="2" spans="1:37" x14ac:dyDescent="0.3">
      <c r="A2" t="s">
        <v>0</v>
      </c>
      <c r="B2" t="s">
        <v>299</v>
      </c>
      <c r="C2" t="s">
        <v>303</v>
      </c>
      <c r="D2" t="s">
        <v>311</v>
      </c>
      <c r="E2" t="s">
        <v>320</v>
      </c>
      <c r="F2">
        <v>172873</v>
      </c>
      <c r="G2">
        <v>23473512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78</v>
      </c>
      <c r="P2" t="s">
        <v>79</v>
      </c>
      <c r="Q2">
        <v>0.8</v>
      </c>
      <c r="R2">
        <v>0.8</v>
      </c>
      <c r="S2">
        <v>0.8</v>
      </c>
      <c r="T2" t="b">
        <v>0</v>
      </c>
      <c r="U2" s="1">
        <v>3.3197511196939131E-2</v>
      </c>
      <c r="V2" s="1">
        <v>9.5020651155422423E-2</v>
      </c>
      <c r="W2" s="1">
        <v>7.8918866813656313E-2</v>
      </c>
      <c r="X2" s="1">
        <v>7.8918866813656313E-2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</row>
    <row r="3" spans="1:37" x14ac:dyDescent="0.3">
      <c r="A3" t="s">
        <v>1</v>
      </c>
      <c r="B3" t="s">
        <v>299</v>
      </c>
      <c r="C3" t="s">
        <v>304</v>
      </c>
      <c r="D3" t="s">
        <v>311</v>
      </c>
      <c r="E3" t="s">
        <v>321</v>
      </c>
      <c r="F3">
        <v>102392</v>
      </c>
      <c r="G3">
        <v>11723038</v>
      </c>
      <c r="H3" t="s">
        <v>72</v>
      </c>
      <c r="I3" t="s">
        <v>73</v>
      </c>
      <c r="J3" t="s">
        <v>101</v>
      </c>
      <c r="K3" t="s">
        <v>102</v>
      </c>
      <c r="L3" t="s">
        <v>76</v>
      </c>
      <c r="M3" t="s">
        <v>103</v>
      </c>
      <c r="N3" t="s">
        <v>104</v>
      </c>
      <c r="O3" t="s">
        <v>104</v>
      </c>
      <c r="P3" t="s">
        <v>79</v>
      </c>
      <c r="Q3">
        <v>0.8</v>
      </c>
      <c r="R3">
        <v>0.8</v>
      </c>
      <c r="S3">
        <v>0.8</v>
      </c>
      <c r="T3" t="b">
        <v>0</v>
      </c>
      <c r="U3" s="1">
        <v>2.6030081596745476E-2</v>
      </c>
      <c r="V3" s="1">
        <v>7.4505443744818572E-2</v>
      </c>
      <c r="W3" s="1">
        <v>6.1880076807431565E-2</v>
      </c>
      <c r="X3" s="1">
        <v>6.1880076807431565E-2</v>
      </c>
      <c r="Y3" t="s">
        <v>80</v>
      </c>
      <c r="Z3" t="s">
        <v>81</v>
      </c>
      <c r="AA3" t="s">
        <v>82</v>
      </c>
      <c r="AB3" t="s">
        <v>83</v>
      </c>
      <c r="AC3" t="s">
        <v>84</v>
      </c>
      <c r="AD3" t="s">
        <v>85</v>
      </c>
      <c r="AE3" t="s">
        <v>86</v>
      </c>
      <c r="AF3" t="s">
        <v>87</v>
      </c>
      <c r="AG3" t="s">
        <v>88</v>
      </c>
      <c r="AH3" t="s">
        <v>105</v>
      </c>
      <c r="AI3" t="s">
        <v>106</v>
      </c>
      <c r="AJ3" t="s">
        <v>91</v>
      </c>
      <c r="AK3" t="s">
        <v>92</v>
      </c>
    </row>
    <row r="4" spans="1:37" x14ac:dyDescent="0.3">
      <c r="A4" t="s">
        <v>2</v>
      </c>
      <c r="B4" t="s">
        <v>299</v>
      </c>
      <c r="C4" t="s">
        <v>305</v>
      </c>
      <c r="D4" t="s">
        <v>311</v>
      </c>
      <c r="E4" t="s">
        <v>322</v>
      </c>
      <c r="F4">
        <v>147644</v>
      </c>
      <c r="G4">
        <v>18161803</v>
      </c>
      <c r="H4" t="s">
        <v>72</v>
      </c>
      <c r="I4" t="s">
        <v>73</v>
      </c>
      <c r="J4" t="s">
        <v>107</v>
      </c>
      <c r="K4" t="s">
        <v>108</v>
      </c>
      <c r="L4" t="s">
        <v>76</v>
      </c>
      <c r="M4" t="s">
        <v>109</v>
      </c>
      <c r="N4" t="s">
        <v>110</v>
      </c>
      <c r="O4" t="s">
        <v>110</v>
      </c>
      <c r="P4" t="s">
        <v>79</v>
      </c>
      <c r="Q4">
        <v>0.8</v>
      </c>
      <c r="R4">
        <v>0.8</v>
      </c>
      <c r="S4">
        <v>0.8</v>
      </c>
      <c r="T4" t="b">
        <v>0</v>
      </c>
      <c r="U4" s="1">
        <v>4.4811512814637626E-2</v>
      </c>
      <c r="V4" s="1">
        <v>0.12826320327588353</v>
      </c>
      <c r="W4" s="1">
        <v>0.10652828130871778</v>
      </c>
      <c r="X4" s="1">
        <v>0.10652828130871778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111</v>
      </c>
      <c r="AI4" t="s">
        <v>112</v>
      </c>
      <c r="AJ4" t="s">
        <v>91</v>
      </c>
      <c r="AK4" t="s">
        <v>92</v>
      </c>
    </row>
    <row r="5" spans="1:37" x14ac:dyDescent="0.3">
      <c r="A5" t="s">
        <v>3</v>
      </c>
      <c r="B5" t="s">
        <v>299</v>
      </c>
      <c r="C5" t="s">
        <v>306</v>
      </c>
      <c r="D5" t="s">
        <v>311</v>
      </c>
      <c r="E5" t="s">
        <v>322</v>
      </c>
      <c r="F5">
        <v>367400</v>
      </c>
      <c r="G5">
        <v>50346473</v>
      </c>
      <c r="H5" t="s">
        <v>72</v>
      </c>
      <c r="I5" t="s">
        <v>73</v>
      </c>
      <c r="J5" t="s">
        <v>113</v>
      </c>
      <c r="K5" t="s">
        <v>114</v>
      </c>
      <c r="L5" t="s">
        <v>76</v>
      </c>
      <c r="M5" t="s">
        <v>115</v>
      </c>
      <c r="N5" t="s">
        <v>116</v>
      </c>
      <c r="O5" t="s">
        <v>116</v>
      </c>
      <c r="P5" t="s">
        <v>79</v>
      </c>
      <c r="Q5">
        <v>0.8</v>
      </c>
      <c r="R5">
        <v>0.8</v>
      </c>
      <c r="S5">
        <v>0.8</v>
      </c>
      <c r="T5" t="b">
        <v>0</v>
      </c>
      <c r="U5" s="1">
        <v>6.114339310532723E-2</v>
      </c>
      <c r="V5" s="1">
        <v>0.17500965636411447</v>
      </c>
      <c r="W5" s="1">
        <v>0.14535328472030937</v>
      </c>
      <c r="X5" s="1">
        <v>0.14535328472030937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111</v>
      </c>
      <c r="AI5" t="s">
        <v>112</v>
      </c>
      <c r="AJ5" t="s">
        <v>91</v>
      </c>
      <c r="AK5" t="s">
        <v>92</v>
      </c>
    </row>
    <row r="6" spans="1:37" x14ac:dyDescent="0.3">
      <c r="A6" t="s">
        <v>4</v>
      </c>
      <c r="B6" t="s">
        <v>299</v>
      </c>
      <c r="C6" t="s">
        <v>307</v>
      </c>
      <c r="D6" t="s">
        <v>311</v>
      </c>
      <c r="E6" t="s">
        <v>322</v>
      </c>
      <c r="F6">
        <v>207257</v>
      </c>
      <c r="G6">
        <v>30472547</v>
      </c>
      <c r="H6" t="s">
        <v>72</v>
      </c>
      <c r="I6" t="s">
        <v>73</v>
      </c>
      <c r="J6" t="s">
        <v>117</v>
      </c>
      <c r="K6" t="s">
        <v>118</v>
      </c>
      <c r="L6" t="s">
        <v>76</v>
      </c>
      <c r="M6" t="s">
        <v>119</v>
      </c>
      <c r="N6" t="s">
        <v>120</v>
      </c>
      <c r="O6" t="s">
        <v>120</v>
      </c>
      <c r="P6" t="s">
        <v>79</v>
      </c>
      <c r="Q6">
        <v>0.8</v>
      </c>
      <c r="R6">
        <v>0.8</v>
      </c>
      <c r="S6">
        <v>0.8</v>
      </c>
      <c r="T6" t="b">
        <v>0</v>
      </c>
      <c r="U6" s="1">
        <v>5.6803894321972755E-2</v>
      </c>
      <c r="V6" s="1">
        <v>0.1625887854850793</v>
      </c>
      <c r="W6" s="1">
        <v>0.13503720034609423</v>
      </c>
      <c r="X6" s="1">
        <v>0.13503720034609423</v>
      </c>
      <c r="Y6" t="s">
        <v>80</v>
      </c>
      <c r="Z6" t="s">
        <v>81</v>
      </c>
      <c r="AA6" t="s">
        <v>82</v>
      </c>
      <c r="AB6" t="s">
        <v>83</v>
      </c>
      <c r="AC6" t="s">
        <v>84</v>
      </c>
      <c r="AD6" t="s">
        <v>85</v>
      </c>
      <c r="AE6" t="s">
        <v>86</v>
      </c>
      <c r="AF6" t="s">
        <v>87</v>
      </c>
      <c r="AG6" t="s">
        <v>88</v>
      </c>
      <c r="AH6" t="s">
        <v>111</v>
      </c>
      <c r="AI6" t="s">
        <v>112</v>
      </c>
      <c r="AJ6" t="s">
        <v>91</v>
      </c>
      <c r="AK6" t="s">
        <v>92</v>
      </c>
    </row>
    <row r="7" spans="1:37" x14ac:dyDescent="0.3">
      <c r="A7" t="s">
        <v>5</v>
      </c>
      <c r="B7" t="s">
        <v>299</v>
      </c>
      <c r="C7" t="s">
        <v>308</v>
      </c>
      <c r="D7" t="s">
        <v>311</v>
      </c>
      <c r="E7" t="s">
        <v>322</v>
      </c>
      <c r="F7">
        <v>184907</v>
      </c>
      <c r="G7">
        <v>29020507</v>
      </c>
      <c r="H7" t="s">
        <v>72</v>
      </c>
      <c r="I7" t="s">
        <v>73</v>
      </c>
      <c r="J7" t="s">
        <v>121</v>
      </c>
      <c r="K7" t="s">
        <v>122</v>
      </c>
      <c r="L7" t="s">
        <v>76</v>
      </c>
      <c r="M7" t="s">
        <v>123</v>
      </c>
      <c r="N7" t="s">
        <v>124</v>
      </c>
      <c r="O7" t="s">
        <v>124</v>
      </c>
      <c r="P7" t="s">
        <v>79</v>
      </c>
      <c r="Q7">
        <v>0.8</v>
      </c>
      <c r="R7">
        <v>0.8</v>
      </c>
      <c r="S7">
        <v>0.8</v>
      </c>
      <c r="T7" t="b">
        <v>0</v>
      </c>
      <c r="U7" s="1">
        <v>9.5680391778450516E-2</v>
      </c>
      <c r="V7" s="1">
        <v>0.2738642989126413</v>
      </c>
      <c r="W7" s="1">
        <v>0.22745645149863547</v>
      </c>
      <c r="X7" s="1">
        <v>0.22745645149863547</v>
      </c>
      <c r="Y7" t="s">
        <v>80</v>
      </c>
      <c r="Z7" t="s">
        <v>81</v>
      </c>
      <c r="AA7" t="s">
        <v>82</v>
      </c>
      <c r="AB7" t="s">
        <v>83</v>
      </c>
      <c r="AC7" t="s">
        <v>84</v>
      </c>
      <c r="AD7" t="s">
        <v>85</v>
      </c>
      <c r="AE7" t="s">
        <v>86</v>
      </c>
      <c r="AF7" t="s">
        <v>87</v>
      </c>
      <c r="AG7" t="s">
        <v>88</v>
      </c>
      <c r="AH7" t="s">
        <v>111</v>
      </c>
      <c r="AI7" t="s">
        <v>112</v>
      </c>
      <c r="AJ7" t="s">
        <v>91</v>
      </c>
      <c r="AK7" t="s">
        <v>92</v>
      </c>
    </row>
    <row r="8" spans="1:37" x14ac:dyDescent="0.3">
      <c r="A8" t="s">
        <v>6</v>
      </c>
      <c r="B8" t="s">
        <v>299</v>
      </c>
      <c r="C8" t="s">
        <v>309</v>
      </c>
      <c r="D8" t="s">
        <v>311</v>
      </c>
      <c r="E8" t="s">
        <v>321</v>
      </c>
      <c r="F8">
        <v>265617</v>
      </c>
      <c r="G8">
        <v>52871133</v>
      </c>
      <c r="H8" t="s">
        <v>72</v>
      </c>
      <c r="I8" t="s">
        <v>93</v>
      </c>
      <c r="J8" t="s">
        <v>125</v>
      </c>
      <c r="K8" t="s">
        <v>126</v>
      </c>
      <c r="L8" t="s">
        <v>76</v>
      </c>
      <c r="M8" t="s">
        <v>127</v>
      </c>
      <c r="N8" t="s">
        <v>128</v>
      </c>
      <c r="O8" t="s">
        <v>128</v>
      </c>
      <c r="P8" t="s">
        <v>94</v>
      </c>
      <c r="Q8">
        <v>0.8</v>
      </c>
      <c r="R8">
        <v>0.8</v>
      </c>
      <c r="S8">
        <v>0.8</v>
      </c>
      <c r="T8" t="b">
        <v>0</v>
      </c>
      <c r="U8" s="1">
        <v>5.7036671066506395E-2</v>
      </c>
      <c r="V8" s="1">
        <v>0.16325505825800526</v>
      </c>
      <c r="W8" s="1">
        <v>0.13559056944627126</v>
      </c>
      <c r="X8" s="1">
        <v>0.13559056944627126</v>
      </c>
      <c r="Y8" t="s">
        <v>96</v>
      </c>
      <c r="Z8" t="s">
        <v>97</v>
      </c>
      <c r="AA8" t="s">
        <v>82</v>
      </c>
      <c r="AB8" t="s">
        <v>98</v>
      </c>
      <c r="AC8" t="s">
        <v>84</v>
      </c>
      <c r="AD8" t="s">
        <v>85</v>
      </c>
      <c r="AE8" t="s">
        <v>86</v>
      </c>
      <c r="AF8" t="s">
        <v>87</v>
      </c>
      <c r="AG8" t="s">
        <v>88</v>
      </c>
      <c r="AH8" t="s">
        <v>105</v>
      </c>
      <c r="AI8" t="s">
        <v>106</v>
      </c>
      <c r="AJ8" t="s">
        <v>100</v>
      </c>
      <c r="AK8" t="s">
        <v>92</v>
      </c>
    </row>
    <row r="9" spans="1:37" x14ac:dyDescent="0.3">
      <c r="A9" t="s">
        <v>7</v>
      </c>
      <c r="B9" t="s">
        <v>299</v>
      </c>
      <c r="C9" t="s">
        <v>310</v>
      </c>
      <c r="D9" t="s">
        <v>311</v>
      </c>
      <c r="E9" t="s">
        <v>323</v>
      </c>
      <c r="F9">
        <v>109480</v>
      </c>
      <c r="G9">
        <v>22950883</v>
      </c>
      <c r="H9" t="s">
        <v>72</v>
      </c>
      <c r="I9" t="s">
        <v>95</v>
      </c>
      <c r="J9" t="s">
        <v>129</v>
      </c>
      <c r="K9" t="s">
        <v>130</v>
      </c>
      <c r="L9" t="s">
        <v>76</v>
      </c>
      <c r="M9" t="s">
        <v>131</v>
      </c>
      <c r="N9" t="s">
        <v>132</v>
      </c>
      <c r="O9" t="s">
        <v>132</v>
      </c>
      <c r="P9" t="s">
        <v>94</v>
      </c>
      <c r="Q9">
        <v>0.8</v>
      </c>
      <c r="R9">
        <v>0.8</v>
      </c>
      <c r="S9">
        <v>0.8</v>
      </c>
      <c r="T9" t="b">
        <v>0</v>
      </c>
      <c r="U9" s="1">
        <v>5.7099788948909137E-2</v>
      </c>
      <c r="V9" s="1">
        <v>0.16343571946028279</v>
      </c>
      <c r="W9" s="1">
        <v>0.13574061659062953</v>
      </c>
      <c r="X9" s="1">
        <v>0.13574061659062953</v>
      </c>
      <c r="Y9" t="s">
        <v>96</v>
      </c>
      <c r="Z9" t="s">
        <v>97</v>
      </c>
      <c r="AA9" t="s">
        <v>82</v>
      </c>
      <c r="AB9" t="s">
        <v>98</v>
      </c>
      <c r="AC9" t="s">
        <v>99</v>
      </c>
      <c r="AD9" t="s">
        <v>85</v>
      </c>
      <c r="AE9" t="s">
        <v>86</v>
      </c>
      <c r="AF9" t="s">
        <v>87</v>
      </c>
      <c r="AG9" t="s">
        <v>88</v>
      </c>
      <c r="AH9" t="s">
        <v>133</v>
      </c>
      <c r="AI9" t="s">
        <v>134</v>
      </c>
      <c r="AJ9" t="s">
        <v>100</v>
      </c>
      <c r="AK9" t="s">
        <v>92</v>
      </c>
    </row>
    <row r="10" spans="1:37" x14ac:dyDescent="0.3">
      <c r="A10" t="s">
        <v>8</v>
      </c>
      <c r="B10" t="s">
        <v>300</v>
      </c>
      <c r="C10" t="s">
        <v>303</v>
      </c>
      <c r="D10" t="s">
        <v>311</v>
      </c>
      <c r="E10" t="s">
        <v>321</v>
      </c>
      <c r="F10">
        <v>42079</v>
      </c>
      <c r="G10">
        <v>10767691</v>
      </c>
      <c r="H10" t="s">
        <v>72</v>
      </c>
      <c r="I10" t="s">
        <v>73</v>
      </c>
      <c r="J10" t="s">
        <v>135</v>
      </c>
      <c r="K10" t="s">
        <v>136</v>
      </c>
      <c r="L10" t="s">
        <v>76</v>
      </c>
      <c r="M10" t="s">
        <v>137</v>
      </c>
      <c r="N10" t="s">
        <v>138</v>
      </c>
      <c r="O10" t="s">
        <v>138</v>
      </c>
      <c r="P10" t="s">
        <v>79</v>
      </c>
      <c r="Q10">
        <v>0.8</v>
      </c>
      <c r="R10">
        <v>0.8</v>
      </c>
      <c r="S10">
        <v>0.8</v>
      </c>
      <c r="T10" t="b">
        <v>0</v>
      </c>
      <c r="U10" s="1">
        <v>4.5996430608280389E-2</v>
      </c>
      <c r="V10" s="1">
        <v>0.13165477259111469</v>
      </c>
      <c r="W10" s="1">
        <v>0.10934513010761951</v>
      </c>
      <c r="X10" s="1">
        <v>0.10934513010761951</v>
      </c>
      <c r="Y10" t="s">
        <v>80</v>
      </c>
      <c r="Z10" t="s">
        <v>81</v>
      </c>
      <c r="AA10" t="s">
        <v>82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 t="s">
        <v>88</v>
      </c>
      <c r="AH10" t="s">
        <v>89</v>
      </c>
      <c r="AI10" t="s">
        <v>90</v>
      </c>
      <c r="AJ10" t="s">
        <v>91</v>
      </c>
      <c r="AK10" t="s">
        <v>92</v>
      </c>
    </row>
    <row r="11" spans="1:37" x14ac:dyDescent="0.3">
      <c r="A11" t="s">
        <v>9</v>
      </c>
      <c r="B11" t="s">
        <v>300</v>
      </c>
      <c r="C11" t="s">
        <v>304</v>
      </c>
      <c r="D11" t="s">
        <v>311</v>
      </c>
      <c r="E11" t="s">
        <v>322</v>
      </c>
      <c r="F11">
        <v>18246</v>
      </c>
      <c r="G11">
        <v>3849703</v>
      </c>
      <c r="H11" t="s">
        <v>72</v>
      </c>
      <c r="I11" t="s">
        <v>73</v>
      </c>
      <c r="J11" t="s">
        <v>139</v>
      </c>
      <c r="K11" t="s">
        <v>140</v>
      </c>
      <c r="L11" t="s">
        <v>76</v>
      </c>
      <c r="M11" t="s">
        <v>141</v>
      </c>
      <c r="N11" t="s">
        <v>142</v>
      </c>
      <c r="O11" t="s">
        <v>142</v>
      </c>
      <c r="P11" t="s">
        <v>79</v>
      </c>
      <c r="Q11">
        <v>0.8</v>
      </c>
      <c r="R11">
        <v>0.8</v>
      </c>
      <c r="S11">
        <v>0.8</v>
      </c>
      <c r="T11" t="b">
        <v>0</v>
      </c>
      <c r="U11" s="1">
        <v>4.4573674905185913E-2</v>
      </c>
      <c r="V11" s="1">
        <v>0.1275824440198213</v>
      </c>
      <c r="W11" s="1">
        <v>0.10596288054153652</v>
      </c>
      <c r="X11" s="1">
        <v>0.10596288054153652</v>
      </c>
      <c r="Y11" t="s">
        <v>80</v>
      </c>
      <c r="Z11" t="s">
        <v>81</v>
      </c>
      <c r="AA11" t="s">
        <v>82</v>
      </c>
      <c r="AB11" t="s">
        <v>83</v>
      </c>
      <c r="AC11" t="s">
        <v>84</v>
      </c>
      <c r="AD11" t="s">
        <v>85</v>
      </c>
      <c r="AE11" t="s">
        <v>86</v>
      </c>
      <c r="AF11" t="s">
        <v>87</v>
      </c>
      <c r="AG11" t="s">
        <v>88</v>
      </c>
      <c r="AH11" t="s">
        <v>105</v>
      </c>
      <c r="AI11" t="s">
        <v>106</v>
      </c>
      <c r="AJ11" t="s">
        <v>91</v>
      </c>
      <c r="AK11" t="s">
        <v>92</v>
      </c>
    </row>
    <row r="12" spans="1:37" x14ac:dyDescent="0.3">
      <c r="A12" t="s">
        <v>10</v>
      </c>
      <c r="B12" t="s">
        <v>300</v>
      </c>
      <c r="C12" t="s">
        <v>305</v>
      </c>
      <c r="D12" t="s">
        <v>311</v>
      </c>
      <c r="E12" t="s">
        <v>322</v>
      </c>
      <c r="F12">
        <v>36728</v>
      </c>
      <c r="G12">
        <v>7736326</v>
      </c>
      <c r="H12" t="s">
        <v>72</v>
      </c>
      <c r="I12" t="s">
        <v>73</v>
      </c>
      <c r="J12" t="s">
        <v>143</v>
      </c>
      <c r="K12" t="s">
        <v>144</v>
      </c>
      <c r="L12" t="s">
        <v>76</v>
      </c>
      <c r="M12" t="s">
        <v>145</v>
      </c>
      <c r="N12" t="s">
        <v>146</v>
      </c>
      <c r="O12" t="s">
        <v>146</v>
      </c>
      <c r="P12" t="s">
        <v>79</v>
      </c>
      <c r="Q12">
        <v>0.8</v>
      </c>
      <c r="R12">
        <v>0.8</v>
      </c>
      <c r="S12">
        <v>0.8</v>
      </c>
      <c r="T12" t="b">
        <v>0</v>
      </c>
      <c r="U12" s="1">
        <v>5.5204502708961475E-2</v>
      </c>
      <c r="V12" s="1">
        <v>0.15801087506223815</v>
      </c>
      <c r="W12" s="1">
        <v>0.1312350426198321</v>
      </c>
      <c r="X12" s="1">
        <v>0.1312350426198321</v>
      </c>
      <c r="Y12" t="s">
        <v>80</v>
      </c>
      <c r="Z12" t="s">
        <v>81</v>
      </c>
      <c r="AA12" t="s">
        <v>82</v>
      </c>
      <c r="AB12" t="s">
        <v>83</v>
      </c>
      <c r="AC12" t="s">
        <v>84</v>
      </c>
      <c r="AD12" t="s">
        <v>85</v>
      </c>
      <c r="AE12" t="s">
        <v>86</v>
      </c>
      <c r="AF12" t="s">
        <v>87</v>
      </c>
      <c r="AG12" t="s">
        <v>88</v>
      </c>
      <c r="AH12" t="s">
        <v>111</v>
      </c>
      <c r="AI12" t="s">
        <v>112</v>
      </c>
      <c r="AJ12" t="s">
        <v>91</v>
      </c>
      <c r="AK12" t="s">
        <v>92</v>
      </c>
    </row>
    <row r="13" spans="1:37" x14ac:dyDescent="0.3">
      <c r="A13" t="s">
        <v>11</v>
      </c>
      <c r="B13" t="s">
        <v>300</v>
      </c>
      <c r="C13" t="s">
        <v>306</v>
      </c>
      <c r="D13" t="s">
        <v>311</v>
      </c>
      <c r="E13" t="s">
        <v>322</v>
      </c>
      <c r="F13">
        <v>107892</v>
      </c>
      <c r="G13">
        <v>25489286</v>
      </c>
      <c r="H13" t="s">
        <v>72</v>
      </c>
      <c r="I13" t="s">
        <v>73</v>
      </c>
      <c r="J13" t="s">
        <v>149</v>
      </c>
      <c r="K13" t="s">
        <v>150</v>
      </c>
      <c r="L13" t="s">
        <v>76</v>
      </c>
      <c r="M13" t="s">
        <v>151</v>
      </c>
      <c r="N13" t="s">
        <v>152</v>
      </c>
      <c r="O13" t="s">
        <v>152</v>
      </c>
      <c r="P13" t="s">
        <v>79</v>
      </c>
      <c r="Q13">
        <v>0.8</v>
      </c>
      <c r="R13">
        <v>0.8</v>
      </c>
      <c r="S13">
        <v>0.8</v>
      </c>
      <c r="T13" t="b">
        <v>0</v>
      </c>
      <c r="U13" s="1">
        <v>4.0996327582910184E-2</v>
      </c>
      <c r="V13" s="1">
        <v>0.11734306583405273</v>
      </c>
      <c r="W13" s="1">
        <v>9.7458622641055759E-2</v>
      </c>
      <c r="X13" s="1">
        <v>9.7458622641055759E-2</v>
      </c>
      <c r="Y13" t="s">
        <v>80</v>
      </c>
      <c r="Z13" t="s">
        <v>81</v>
      </c>
      <c r="AA13" t="s">
        <v>82</v>
      </c>
      <c r="AB13" t="s">
        <v>83</v>
      </c>
      <c r="AC13" t="s">
        <v>84</v>
      </c>
      <c r="AD13" t="s">
        <v>85</v>
      </c>
      <c r="AE13" t="s">
        <v>86</v>
      </c>
      <c r="AF13" t="s">
        <v>87</v>
      </c>
      <c r="AG13" t="s">
        <v>88</v>
      </c>
      <c r="AH13" t="s">
        <v>111</v>
      </c>
      <c r="AI13" t="s">
        <v>112</v>
      </c>
      <c r="AJ13" t="s">
        <v>91</v>
      </c>
      <c r="AK13" t="s">
        <v>92</v>
      </c>
    </row>
    <row r="14" spans="1:37" x14ac:dyDescent="0.3">
      <c r="A14" t="s">
        <v>12</v>
      </c>
      <c r="B14" t="s">
        <v>300</v>
      </c>
      <c r="C14" t="s">
        <v>307</v>
      </c>
      <c r="D14" t="s">
        <v>311</v>
      </c>
      <c r="E14" t="s">
        <v>322</v>
      </c>
      <c r="F14">
        <v>42240</v>
      </c>
      <c r="G14">
        <v>11442878</v>
      </c>
      <c r="H14" t="s">
        <v>72</v>
      </c>
      <c r="I14" t="s">
        <v>73</v>
      </c>
      <c r="J14" t="s">
        <v>153</v>
      </c>
      <c r="K14" t="s">
        <v>154</v>
      </c>
      <c r="L14" t="s">
        <v>76</v>
      </c>
      <c r="M14" t="s">
        <v>155</v>
      </c>
      <c r="N14" t="s">
        <v>156</v>
      </c>
      <c r="O14" t="s">
        <v>156</v>
      </c>
      <c r="P14" t="s">
        <v>79</v>
      </c>
      <c r="Q14">
        <v>0.8</v>
      </c>
      <c r="R14">
        <v>0.8</v>
      </c>
      <c r="S14">
        <v>0.8</v>
      </c>
      <c r="T14" t="b">
        <v>0</v>
      </c>
      <c r="U14" s="1">
        <v>6.3502907411573953E-2</v>
      </c>
      <c r="V14" s="1">
        <v>0.18176325257378367</v>
      </c>
      <c r="W14" s="1">
        <v>0.15096244602685849</v>
      </c>
      <c r="X14" s="1">
        <v>0.15096244602685849</v>
      </c>
      <c r="Y14" t="s">
        <v>80</v>
      </c>
      <c r="Z14" t="s">
        <v>81</v>
      </c>
      <c r="AA14" t="s">
        <v>82</v>
      </c>
      <c r="AB14" t="s">
        <v>83</v>
      </c>
      <c r="AC14" t="s">
        <v>84</v>
      </c>
      <c r="AD14" t="s">
        <v>85</v>
      </c>
      <c r="AE14" t="s">
        <v>86</v>
      </c>
      <c r="AF14" t="s">
        <v>87</v>
      </c>
      <c r="AG14" t="s">
        <v>88</v>
      </c>
      <c r="AH14" t="s">
        <v>111</v>
      </c>
      <c r="AI14" t="s">
        <v>112</v>
      </c>
      <c r="AJ14" t="s">
        <v>91</v>
      </c>
      <c r="AK14" t="s">
        <v>92</v>
      </c>
    </row>
    <row r="15" spans="1:37" x14ac:dyDescent="0.3">
      <c r="A15" t="s">
        <v>13</v>
      </c>
      <c r="B15" t="s">
        <v>300</v>
      </c>
      <c r="C15" t="s">
        <v>308</v>
      </c>
      <c r="D15" t="s">
        <v>311</v>
      </c>
      <c r="E15" t="s">
        <v>321</v>
      </c>
      <c r="F15">
        <v>19728</v>
      </c>
      <c r="G15">
        <v>5445645</v>
      </c>
      <c r="H15" t="s">
        <v>72</v>
      </c>
      <c r="I15" t="s">
        <v>73</v>
      </c>
      <c r="J15" t="s">
        <v>157</v>
      </c>
      <c r="K15" t="s">
        <v>158</v>
      </c>
      <c r="L15" t="s">
        <v>76</v>
      </c>
      <c r="M15" t="s">
        <v>159</v>
      </c>
      <c r="N15" t="s">
        <v>160</v>
      </c>
      <c r="O15" t="s">
        <v>160</v>
      </c>
      <c r="P15" t="s">
        <v>79</v>
      </c>
      <c r="Q15">
        <v>0.8</v>
      </c>
      <c r="R15">
        <v>0.8</v>
      </c>
      <c r="S15">
        <v>0.8</v>
      </c>
      <c r="T15" t="b">
        <v>0</v>
      </c>
      <c r="U15" s="1">
        <v>3.910035472930283E-2</v>
      </c>
      <c r="V15" s="1">
        <v>0.1119162561538323</v>
      </c>
      <c r="W15" s="1">
        <v>9.2951416416212518E-2</v>
      </c>
      <c r="X15" s="1">
        <v>9.2951416416212518E-2</v>
      </c>
      <c r="Y15" t="s">
        <v>80</v>
      </c>
      <c r="Z15" t="s">
        <v>81</v>
      </c>
      <c r="AA15" t="s">
        <v>82</v>
      </c>
      <c r="AB15" t="s">
        <v>83</v>
      </c>
      <c r="AC15" t="s">
        <v>84</v>
      </c>
      <c r="AD15" t="s">
        <v>85</v>
      </c>
      <c r="AE15" t="s">
        <v>86</v>
      </c>
      <c r="AF15" t="s">
        <v>87</v>
      </c>
      <c r="AG15" t="s">
        <v>88</v>
      </c>
      <c r="AH15" t="s">
        <v>111</v>
      </c>
      <c r="AI15" t="s">
        <v>112</v>
      </c>
      <c r="AJ15" t="s">
        <v>91</v>
      </c>
      <c r="AK15" t="s">
        <v>92</v>
      </c>
    </row>
    <row r="16" spans="1:37" x14ac:dyDescent="0.3">
      <c r="A16" t="s">
        <v>14</v>
      </c>
      <c r="B16" t="s">
        <v>300</v>
      </c>
      <c r="C16" t="s">
        <v>309</v>
      </c>
      <c r="D16" t="s">
        <v>311</v>
      </c>
      <c r="E16" t="s">
        <v>324</v>
      </c>
      <c r="F16">
        <v>22023</v>
      </c>
      <c r="G16">
        <v>6665387</v>
      </c>
      <c r="H16" t="s">
        <v>72</v>
      </c>
      <c r="I16" t="s">
        <v>93</v>
      </c>
      <c r="J16" t="s">
        <v>161</v>
      </c>
      <c r="K16" t="s">
        <v>162</v>
      </c>
      <c r="L16" t="s">
        <v>76</v>
      </c>
      <c r="M16" t="s">
        <v>163</v>
      </c>
      <c r="N16" t="s">
        <v>164</v>
      </c>
      <c r="O16" t="s">
        <v>164</v>
      </c>
      <c r="P16" t="s">
        <v>94</v>
      </c>
      <c r="Q16">
        <v>0.8</v>
      </c>
      <c r="R16">
        <v>0.8</v>
      </c>
      <c r="S16">
        <v>0.8</v>
      </c>
      <c r="T16" t="b">
        <v>0</v>
      </c>
      <c r="U16" s="1">
        <v>6.8195202867168986E-2</v>
      </c>
      <c r="V16" s="1">
        <v>0.19519392714933373</v>
      </c>
      <c r="W16" s="1">
        <v>0.16211721717562375</v>
      </c>
      <c r="X16" s="1">
        <v>0.16211721717562375</v>
      </c>
      <c r="Y16" t="s">
        <v>96</v>
      </c>
      <c r="Z16" t="s">
        <v>97</v>
      </c>
      <c r="AA16" t="s">
        <v>82</v>
      </c>
      <c r="AB16" t="s">
        <v>98</v>
      </c>
      <c r="AC16" t="s">
        <v>84</v>
      </c>
      <c r="AD16" t="s">
        <v>85</v>
      </c>
      <c r="AE16" t="s">
        <v>86</v>
      </c>
      <c r="AF16" t="s">
        <v>87</v>
      </c>
      <c r="AG16" t="s">
        <v>88</v>
      </c>
      <c r="AH16" t="s">
        <v>105</v>
      </c>
      <c r="AI16" t="s">
        <v>106</v>
      </c>
      <c r="AJ16" t="s">
        <v>100</v>
      </c>
      <c r="AK16" t="s">
        <v>92</v>
      </c>
    </row>
    <row r="17" spans="1:37" x14ac:dyDescent="0.3">
      <c r="A17" t="s">
        <v>15</v>
      </c>
      <c r="B17" t="s">
        <v>300</v>
      </c>
      <c r="C17" t="s">
        <v>310</v>
      </c>
      <c r="D17" t="s">
        <v>311</v>
      </c>
      <c r="E17" t="s">
        <v>321</v>
      </c>
      <c r="F17">
        <v>6496</v>
      </c>
      <c r="G17">
        <v>2038252</v>
      </c>
      <c r="H17" t="s">
        <v>72</v>
      </c>
      <c r="I17" t="s">
        <v>95</v>
      </c>
      <c r="J17" t="s">
        <v>165</v>
      </c>
      <c r="K17" t="s">
        <v>166</v>
      </c>
      <c r="L17" t="s">
        <v>76</v>
      </c>
      <c r="M17" t="s">
        <v>167</v>
      </c>
      <c r="N17" t="s">
        <v>168</v>
      </c>
      <c r="O17" t="s">
        <v>168</v>
      </c>
      <c r="P17" t="s">
        <v>94</v>
      </c>
      <c r="Q17">
        <v>0.8</v>
      </c>
      <c r="R17">
        <v>0.8</v>
      </c>
      <c r="S17">
        <v>0.8</v>
      </c>
      <c r="T17" t="b">
        <v>0</v>
      </c>
      <c r="U17" s="1">
        <v>6.8195202867168986E-2</v>
      </c>
      <c r="V17" s="1">
        <v>0.19519392714933373</v>
      </c>
      <c r="W17" s="1">
        <v>0.16211721717562375</v>
      </c>
      <c r="X17" s="1">
        <v>0.16211721717562375</v>
      </c>
      <c r="Y17" t="s">
        <v>96</v>
      </c>
      <c r="Z17" t="s">
        <v>97</v>
      </c>
      <c r="AA17" t="s">
        <v>82</v>
      </c>
      <c r="AB17" t="s">
        <v>98</v>
      </c>
      <c r="AC17" t="s">
        <v>99</v>
      </c>
      <c r="AD17" t="s">
        <v>85</v>
      </c>
      <c r="AE17" t="s">
        <v>86</v>
      </c>
      <c r="AF17" t="s">
        <v>87</v>
      </c>
      <c r="AG17" t="s">
        <v>88</v>
      </c>
      <c r="AH17" t="s">
        <v>147</v>
      </c>
      <c r="AI17" t="s">
        <v>148</v>
      </c>
      <c r="AJ17" t="s">
        <v>100</v>
      </c>
      <c r="AK17" t="s">
        <v>92</v>
      </c>
    </row>
    <row r="18" spans="1:37" x14ac:dyDescent="0.3">
      <c r="A18" t="s">
        <v>16</v>
      </c>
      <c r="B18" t="s">
        <v>301</v>
      </c>
      <c r="C18" t="s">
        <v>303</v>
      </c>
      <c r="D18" t="s">
        <v>311</v>
      </c>
      <c r="E18" t="s">
        <v>324</v>
      </c>
      <c r="F18">
        <v>52200</v>
      </c>
      <c r="G18">
        <v>39061683</v>
      </c>
      <c r="H18" t="s">
        <v>72</v>
      </c>
      <c r="I18" t="s">
        <v>73</v>
      </c>
      <c r="J18" t="s">
        <v>169</v>
      </c>
      <c r="K18" t="s">
        <v>170</v>
      </c>
      <c r="L18" t="s">
        <v>76</v>
      </c>
      <c r="M18" t="s">
        <v>171</v>
      </c>
      <c r="N18" t="s">
        <v>172</v>
      </c>
      <c r="O18" t="s">
        <v>172</v>
      </c>
      <c r="P18" t="s">
        <v>79</v>
      </c>
      <c r="Q18">
        <v>0.8</v>
      </c>
      <c r="R18">
        <v>0.8</v>
      </c>
      <c r="S18">
        <v>0.8</v>
      </c>
      <c r="T18" t="b">
        <v>0</v>
      </c>
      <c r="U18" s="1">
        <v>7.5388780957397594E-2</v>
      </c>
      <c r="V18" s="1">
        <v>0.21578397892206802</v>
      </c>
      <c r="W18" s="1">
        <v>0.17921816874541288</v>
      </c>
      <c r="X18" s="1">
        <v>0.17921816874541288</v>
      </c>
      <c r="Y18" t="s">
        <v>80</v>
      </c>
      <c r="Z18" t="s">
        <v>81</v>
      </c>
      <c r="AA18" t="s">
        <v>82</v>
      </c>
      <c r="AB18" t="s">
        <v>83</v>
      </c>
      <c r="AC18" t="s">
        <v>84</v>
      </c>
      <c r="AD18" t="s">
        <v>85</v>
      </c>
      <c r="AE18" t="s">
        <v>86</v>
      </c>
      <c r="AF18" t="s">
        <v>87</v>
      </c>
      <c r="AG18" t="s">
        <v>88</v>
      </c>
      <c r="AH18" t="s">
        <v>105</v>
      </c>
      <c r="AI18" t="s">
        <v>106</v>
      </c>
      <c r="AJ18" t="s">
        <v>91</v>
      </c>
      <c r="AK18" t="s">
        <v>92</v>
      </c>
    </row>
    <row r="19" spans="1:37" x14ac:dyDescent="0.3">
      <c r="A19" t="s">
        <v>17</v>
      </c>
      <c r="B19" t="s">
        <v>301</v>
      </c>
      <c r="C19" t="s">
        <v>304</v>
      </c>
      <c r="D19" t="s">
        <v>311</v>
      </c>
      <c r="E19" t="s">
        <v>321</v>
      </c>
      <c r="F19">
        <v>23631</v>
      </c>
      <c r="G19">
        <v>12527868</v>
      </c>
      <c r="H19" t="s">
        <v>72</v>
      </c>
      <c r="I19" t="s">
        <v>73</v>
      </c>
      <c r="J19" t="s">
        <v>173</v>
      </c>
      <c r="K19" t="s">
        <v>174</v>
      </c>
      <c r="L19" t="s">
        <v>76</v>
      </c>
      <c r="M19" t="s">
        <v>175</v>
      </c>
      <c r="N19" t="s">
        <v>176</v>
      </c>
      <c r="O19" t="s">
        <v>176</v>
      </c>
      <c r="P19" t="s">
        <v>79</v>
      </c>
      <c r="Q19">
        <v>0.8</v>
      </c>
      <c r="R19">
        <v>0.8</v>
      </c>
      <c r="S19">
        <v>0.8</v>
      </c>
      <c r="T19" t="b">
        <v>0</v>
      </c>
      <c r="U19" s="1">
        <v>6.6668476181167127E-2</v>
      </c>
      <c r="V19" s="1">
        <v>0.19082400426627036</v>
      </c>
      <c r="W19" s="1">
        <v>0.15848780232947274</v>
      </c>
      <c r="X19" s="1">
        <v>0.15848780232947274</v>
      </c>
      <c r="Y19" t="s">
        <v>80</v>
      </c>
      <c r="Z19" t="s">
        <v>81</v>
      </c>
      <c r="AA19" t="s">
        <v>82</v>
      </c>
      <c r="AB19" t="s">
        <v>83</v>
      </c>
      <c r="AC19" t="s">
        <v>84</v>
      </c>
      <c r="AD19" t="s">
        <v>85</v>
      </c>
      <c r="AE19" t="s">
        <v>86</v>
      </c>
      <c r="AF19" t="s">
        <v>87</v>
      </c>
      <c r="AG19" t="s">
        <v>88</v>
      </c>
      <c r="AH19" t="s">
        <v>147</v>
      </c>
      <c r="AI19" t="s">
        <v>148</v>
      </c>
      <c r="AJ19" t="s">
        <v>91</v>
      </c>
      <c r="AK19" t="s">
        <v>92</v>
      </c>
    </row>
    <row r="20" spans="1:37" x14ac:dyDescent="0.3">
      <c r="A20" t="s">
        <v>18</v>
      </c>
      <c r="B20" t="s">
        <v>301</v>
      </c>
      <c r="C20" t="s">
        <v>305</v>
      </c>
      <c r="D20" t="s">
        <v>311</v>
      </c>
      <c r="E20" t="s">
        <v>321</v>
      </c>
      <c r="F20">
        <v>28800</v>
      </c>
      <c r="G20">
        <v>17158733</v>
      </c>
      <c r="H20" t="s">
        <v>72</v>
      </c>
      <c r="I20" t="s">
        <v>73</v>
      </c>
      <c r="J20" t="s">
        <v>177</v>
      </c>
      <c r="K20" t="s">
        <v>178</v>
      </c>
      <c r="L20" t="s">
        <v>76</v>
      </c>
      <c r="M20" t="s">
        <v>179</v>
      </c>
      <c r="N20" t="s">
        <v>180</v>
      </c>
      <c r="O20" t="s">
        <v>180</v>
      </c>
      <c r="P20" t="s">
        <v>79</v>
      </c>
      <c r="Q20">
        <v>0.8</v>
      </c>
      <c r="R20">
        <v>0.8</v>
      </c>
      <c r="S20">
        <v>0.8</v>
      </c>
      <c r="T20" t="b">
        <v>0</v>
      </c>
      <c r="U20" s="1">
        <v>9.6522916666624076E-2</v>
      </c>
      <c r="V20" s="1">
        <v>0.27627584304960912</v>
      </c>
      <c r="W20" s="1">
        <v>0.22945934590365613</v>
      </c>
      <c r="X20" s="1">
        <v>0.22945934590365613</v>
      </c>
      <c r="Y20" t="s">
        <v>80</v>
      </c>
      <c r="Z20" t="s">
        <v>81</v>
      </c>
      <c r="AA20" t="s">
        <v>82</v>
      </c>
      <c r="AB20" t="s">
        <v>83</v>
      </c>
      <c r="AC20" t="s">
        <v>84</v>
      </c>
      <c r="AD20" t="s">
        <v>85</v>
      </c>
      <c r="AE20" t="s">
        <v>86</v>
      </c>
      <c r="AF20" t="s">
        <v>87</v>
      </c>
      <c r="AG20" t="s">
        <v>88</v>
      </c>
      <c r="AH20" t="s">
        <v>105</v>
      </c>
      <c r="AI20" t="s">
        <v>106</v>
      </c>
      <c r="AJ20" t="s">
        <v>91</v>
      </c>
      <c r="AK20" t="s">
        <v>92</v>
      </c>
    </row>
    <row r="21" spans="1:37" x14ac:dyDescent="0.3">
      <c r="A21" t="s">
        <v>19</v>
      </c>
      <c r="B21" t="s">
        <v>301</v>
      </c>
      <c r="C21" t="s">
        <v>306</v>
      </c>
      <c r="D21" t="s">
        <v>311</v>
      </c>
      <c r="E21" t="s">
        <v>324</v>
      </c>
      <c r="F21">
        <v>63213</v>
      </c>
      <c r="G21">
        <v>50950098</v>
      </c>
      <c r="H21" t="s">
        <v>72</v>
      </c>
      <c r="I21" t="s">
        <v>73</v>
      </c>
      <c r="J21" t="s">
        <v>181</v>
      </c>
      <c r="K21" t="s">
        <v>182</v>
      </c>
      <c r="L21" t="s">
        <v>76</v>
      </c>
      <c r="M21" t="s">
        <v>183</v>
      </c>
      <c r="N21" t="s">
        <v>184</v>
      </c>
      <c r="O21" t="s">
        <v>184</v>
      </c>
      <c r="P21" t="s">
        <v>79</v>
      </c>
      <c r="Q21">
        <v>0.8</v>
      </c>
      <c r="R21">
        <v>0.8</v>
      </c>
      <c r="S21">
        <v>0.8</v>
      </c>
      <c r="T21" t="b">
        <v>0</v>
      </c>
      <c r="U21" s="1">
        <v>9.1198977486884353E-2</v>
      </c>
      <c r="V21" s="1">
        <v>0.26103722577587268</v>
      </c>
      <c r="W21" s="1">
        <v>0.21680299812633763</v>
      </c>
      <c r="X21" s="1">
        <v>0.21680299812633763</v>
      </c>
      <c r="Y21" t="s">
        <v>80</v>
      </c>
      <c r="Z21" t="s">
        <v>81</v>
      </c>
      <c r="AA21" t="s">
        <v>82</v>
      </c>
      <c r="AB21" t="s">
        <v>83</v>
      </c>
      <c r="AC21" t="s">
        <v>84</v>
      </c>
      <c r="AD21" t="s">
        <v>85</v>
      </c>
      <c r="AE21" t="s">
        <v>86</v>
      </c>
      <c r="AF21" t="s">
        <v>87</v>
      </c>
      <c r="AG21" t="s">
        <v>88</v>
      </c>
      <c r="AH21" t="s">
        <v>105</v>
      </c>
      <c r="AI21" t="s">
        <v>106</v>
      </c>
      <c r="AJ21" t="s">
        <v>91</v>
      </c>
      <c r="AK21" t="s">
        <v>92</v>
      </c>
    </row>
    <row r="22" spans="1:37" x14ac:dyDescent="0.3">
      <c r="A22" t="s">
        <v>20</v>
      </c>
      <c r="B22" t="s">
        <v>301</v>
      </c>
      <c r="C22" t="s">
        <v>307</v>
      </c>
      <c r="D22" t="s">
        <v>311</v>
      </c>
      <c r="E22" t="s">
        <v>324</v>
      </c>
      <c r="F22">
        <v>25954</v>
      </c>
      <c r="G22">
        <v>19572979</v>
      </c>
      <c r="H22" t="s">
        <v>72</v>
      </c>
      <c r="I22" t="s">
        <v>73</v>
      </c>
      <c r="J22" t="s">
        <v>185</v>
      </c>
      <c r="K22" t="s">
        <v>186</v>
      </c>
      <c r="L22" t="s">
        <v>76</v>
      </c>
      <c r="M22" t="s">
        <v>187</v>
      </c>
      <c r="N22" t="s">
        <v>188</v>
      </c>
      <c r="O22" t="s">
        <v>188</v>
      </c>
      <c r="P22" t="s">
        <v>79</v>
      </c>
      <c r="Q22">
        <v>0.8</v>
      </c>
      <c r="R22">
        <v>0.8</v>
      </c>
      <c r="S22">
        <v>0.8</v>
      </c>
      <c r="T22" t="b">
        <v>0</v>
      </c>
      <c r="U22" s="1">
        <v>7.8787160987108376E-2</v>
      </c>
      <c r="V22" s="1">
        <v>0.22551110218082832</v>
      </c>
      <c r="W22" s="1">
        <v>0.18729697620046279</v>
      </c>
      <c r="X22" s="1">
        <v>0.18729697620046279</v>
      </c>
      <c r="Y22" t="s">
        <v>80</v>
      </c>
      <c r="Z22" t="s">
        <v>81</v>
      </c>
      <c r="AA22" t="s">
        <v>82</v>
      </c>
      <c r="AB22" t="s">
        <v>83</v>
      </c>
      <c r="AC22" t="s">
        <v>84</v>
      </c>
      <c r="AD22" t="s">
        <v>85</v>
      </c>
      <c r="AE22" t="s">
        <v>86</v>
      </c>
      <c r="AF22" t="s">
        <v>87</v>
      </c>
      <c r="AG22" t="s">
        <v>88</v>
      </c>
      <c r="AH22" t="s">
        <v>147</v>
      </c>
      <c r="AI22" t="s">
        <v>148</v>
      </c>
      <c r="AJ22" t="s">
        <v>91</v>
      </c>
      <c r="AK22" t="s">
        <v>92</v>
      </c>
    </row>
    <row r="23" spans="1:37" x14ac:dyDescent="0.3">
      <c r="A23" t="s">
        <v>21</v>
      </c>
      <c r="B23" t="s">
        <v>301</v>
      </c>
      <c r="C23" t="s">
        <v>308</v>
      </c>
      <c r="D23" t="s">
        <v>311</v>
      </c>
      <c r="E23" t="s">
        <v>324</v>
      </c>
      <c r="F23">
        <v>27819</v>
      </c>
      <c r="G23">
        <v>19795355</v>
      </c>
      <c r="H23" t="s">
        <v>72</v>
      </c>
      <c r="I23" t="s">
        <v>73</v>
      </c>
      <c r="J23" t="s">
        <v>189</v>
      </c>
      <c r="K23" t="s">
        <v>190</v>
      </c>
      <c r="L23" t="s">
        <v>76</v>
      </c>
      <c r="M23" t="s">
        <v>191</v>
      </c>
      <c r="N23" t="s">
        <v>192</v>
      </c>
      <c r="O23" t="s">
        <v>192</v>
      </c>
      <c r="P23" t="s">
        <v>79</v>
      </c>
      <c r="Q23">
        <v>0.8</v>
      </c>
      <c r="R23">
        <v>0.8</v>
      </c>
      <c r="S23">
        <v>0.8</v>
      </c>
      <c r="T23" t="b">
        <v>0</v>
      </c>
      <c r="U23" s="1">
        <v>0.11035205735472998</v>
      </c>
      <c r="V23" s="1">
        <v>0.31585874868697289</v>
      </c>
      <c r="W23" s="1">
        <v>0.26233470531350767</v>
      </c>
      <c r="X23" s="1">
        <v>0.26233470531350767</v>
      </c>
      <c r="Y23" t="s">
        <v>80</v>
      </c>
      <c r="Z23" t="s">
        <v>81</v>
      </c>
      <c r="AA23" t="s">
        <v>82</v>
      </c>
      <c r="AB23" t="s">
        <v>83</v>
      </c>
      <c r="AC23" t="s">
        <v>84</v>
      </c>
      <c r="AD23" t="s">
        <v>85</v>
      </c>
      <c r="AE23" t="s">
        <v>86</v>
      </c>
      <c r="AF23" t="s">
        <v>87</v>
      </c>
      <c r="AG23" t="s">
        <v>88</v>
      </c>
      <c r="AH23" t="s">
        <v>147</v>
      </c>
      <c r="AI23" t="s">
        <v>148</v>
      </c>
      <c r="AJ23" t="s">
        <v>91</v>
      </c>
      <c r="AK23" t="s">
        <v>92</v>
      </c>
    </row>
    <row r="24" spans="1:37" x14ac:dyDescent="0.3">
      <c r="A24" t="s">
        <v>22</v>
      </c>
      <c r="B24" t="s">
        <v>301</v>
      </c>
      <c r="C24" t="s">
        <v>309</v>
      </c>
      <c r="D24" t="s">
        <v>311</v>
      </c>
      <c r="E24" t="s">
        <v>324</v>
      </c>
      <c r="F24">
        <v>39145</v>
      </c>
      <c r="G24">
        <v>38906877</v>
      </c>
      <c r="H24" t="s">
        <v>72</v>
      </c>
      <c r="I24" t="s">
        <v>93</v>
      </c>
      <c r="J24" t="s">
        <v>193</v>
      </c>
      <c r="K24" t="s">
        <v>194</v>
      </c>
      <c r="L24" t="s">
        <v>76</v>
      </c>
      <c r="M24" t="s">
        <v>195</v>
      </c>
      <c r="N24" t="s">
        <v>196</v>
      </c>
      <c r="O24" t="s">
        <v>196</v>
      </c>
      <c r="P24" t="s">
        <v>94</v>
      </c>
      <c r="Q24">
        <v>0.8</v>
      </c>
      <c r="R24">
        <v>0.8</v>
      </c>
      <c r="S24">
        <v>0.8</v>
      </c>
      <c r="T24" t="b">
        <v>0</v>
      </c>
      <c r="U24" s="1">
        <v>9.0416558593148247E-2</v>
      </c>
      <c r="V24" s="1">
        <v>0.25879772196734729</v>
      </c>
      <c r="W24" s="1">
        <v>0.21494299084745039</v>
      </c>
      <c r="X24" s="1">
        <v>0.21494299084745039</v>
      </c>
      <c r="Y24" t="s">
        <v>96</v>
      </c>
      <c r="Z24" t="s">
        <v>97</v>
      </c>
      <c r="AA24" t="s">
        <v>82</v>
      </c>
      <c r="AB24" t="s">
        <v>98</v>
      </c>
      <c r="AC24" t="s">
        <v>84</v>
      </c>
      <c r="AD24" t="s">
        <v>85</v>
      </c>
      <c r="AE24" t="s">
        <v>86</v>
      </c>
      <c r="AF24" t="s">
        <v>87</v>
      </c>
      <c r="AG24" t="s">
        <v>88</v>
      </c>
      <c r="AH24" t="s">
        <v>147</v>
      </c>
      <c r="AI24" t="s">
        <v>148</v>
      </c>
      <c r="AJ24" t="s">
        <v>100</v>
      </c>
      <c r="AK24" t="s">
        <v>92</v>
      </c>
    </row>
    <row r="25" spans="1:37" x14ac:dyDescent="0.3">
      <c r="A25" t="s">
        <v>23</v>
      </c>
      <c r="B25" t="s">
        <v>301</v>
      </c>
      <c r="C25" t="s">
        <v>310</v>
      </c>
      <c r="D25" t="s">
        <v>311</v>
      </c>
      <c r="E25" t="s">
        <v>324</v>
      </c>
      <c r="F25">
        <v>20731</v>
      </c>
      <c r="G25">
        <v>30950654</v>
      </c>
      <c r="H25" t="s">
        <v>72</v>
      </c>
      <c r="I25" t="s">
        <v>95</v>
      </c>
      <c r="J25" t="s">
        <v>197</v>
      </c>
      <c r="K25" t="s">
        <v>198</v>
      </c>
      <c r="L25" t="s">
        <v>76</v>
      </c>
      <c r="M25" t="s">
        <v>199</v>
      </c>
      <c r="N25" t="s">
        <v>200</v>
      </c>
      <c r="O25" t="s">
        <v>200</v>
      </c>
      <c r="P25" t="s">
        <v>94</v>
      </c>
      <c r="Q25">
        <v>0.8</v>
      </c>
      <c r="R25">
        <v>0.8</v>
      </c>
      <c r="S25">
        <v>0.8</v>
      </c>
      <c r="T25" t="b">
        <v>0</v>
      </c>
      <c r="U25" s="1">
        <v>9.0416558593148247E-2</v>
      </c>
      <c r="V25" s="1">
        <v>0.25879772196734729</v>
      </c>
      <c r="W25" s="1">
        <v>0.21494299084745039</v>
      </c>
      <c r="X25" s="1">
        <v>0.21494299084745039</v>
      </c>
      <c r="Y25" t="s">
        <v>96</v>
      </c>
      <c r="Z25" t="s">
        <v>97</v>
      </c>
      <c r="AA25" t="s">
        <v>82</v>
      </c>
      <c r="AB25" t="s">
        <v>98</v>
      </c>
      <c r="AC25" t="s">
        <v>99</v>
      </c>
      <c r="AD25" t="s">
        <v>85</v>
      </c>
      <c r="AE25" t="s">
        <v>86</v>
      </c>
      <c r="AF25" t="s">
        <v>87</v>
      </c>
      <c r="AG25" t="s">
        <v>88</v>
      </c>
      <c r="AH25" t="s">
        <v>147</v>
      </c>
      <c r="AI25" t="s">
        <v>148</v>
      </c>
      <c r="AJ25" t="s">
        <v>100</v>
      </c>
      <c r="AK25" t="s">
        <v>92</v>
      </c>
    </row>
    <row r="26" spans="1:37" x14ac:dyDescent="0.3">
      <c r="A26" t="s">
        <v>24</v>
      </c>
      <c r="B26" t="s">
        <v>302</v>
      </c>
      <c r="C26" t="s">
        <v>317</v>
      </c>
      <c r="D26" t="s">
        <v>311</v>
      </c>
      <c r="E26" t="s">
        <v>321</v>
      </c>
      <c r="F26">
        <v>26079</v>
      </c>
      <c r="G26">
        <v>32916733</v>
      </c>
      <c r="H26" t="s">
        <v>72</v>
      </c>
      <c r="I26" t="s">
        <v>93</v>
      </c>
      <c r="J26" t="s">
        <v>201</v>
      </c>
      <c r="K26" t="s">
        <v>202</v>
      </c>
      <c r="L26" t="s">
        <v>76</v>
      </c>
      <c r="M26" t="s">
        <v>203</v>
      </c>
      <c r="N26" t="s">
        <v>204</v>
      </c>
      <c r="O26" t="s">
        <v>205</v>
      </c>
      <c r="P26" t="s">
        <v>206</v>
      </c>
      <c r="Q26">
        <v>0.8</v>
      </c>
      <c r="R26">
        <v>0.8</v>
      </c>
      <c r="S26">
        <v>0.8</v>
      </c>
      <c r="T26" t="b">
        <v>0</v>
      </c>
      <c r="U26" s="1">
        <v>0.31</v>
      </c>
      <c r="V26" s="1">
        <v>0.31</v>
      </c>
      <c r="W26" s="1">
        <v>0.31</v>
      </c>
      <c r="X26" s="1">
        <v>0.31</v>
      </c>
      <c r="Y26" t="s">
        <v>80</v>
      </c>
      <c r="Z26" t="s">
        <v>81</v>
      </c>
      <c r="AA26" t="s">
        <v>82</v>
      </c>
      <c r="AB26" t="s">
        <v>83</v>
      </c>
      <c r="AC26" t="s">
        <v>99</v>
      </c>
      <c r="AD26" t="s">
        <v>85</v>
      </c>
      <c r="AE26" t="s">
        <v>86</v>
      </c>
      <c r="AF26" t="s">
        <v>87</v>
      </c>
      <c r="AG26" t="s">
        <v>88</v>
      </c>
      <c r="AH26" t="s">
        <v>105</v>
      </c>
      <c r="AI26" t="s">
        <v>106</v>
      </c>
      <c r="AJ26" t="s">
        <v>91</v>
      </c>
      <c r="AK26" t="s">
        <v>92</v>
      </c>
    </row>
    <row r="27" spans="1:37" x14ac:dyDescent="0.3">
      <c r="A27" t="s">
        <v>25</v>
      </c>
      <c r="B27" t="s">
        <v>302</v>
      </c>
      <c r="C27" t="s">
        <v>318</v>
      </c>
      <c r="D27" t="s">
        <v>311</v>
      </c>
      <c r="E27" t="s">
        <v>321</v>
      </c>
      <c r="F27">
        <v>16489</v>
      </c>
      <c r="G27">
        <v>20746453</v>
      </c>
      <c r="H27" t="s">
        <v>72</v>
      </c>
      <c r="I27" t="s">
        <v>93</v>
      </c>
      <c r="J27" t="s">
        <v>207</v>
      </c>
      <c r="K27" t="s">
        <v>208</v>
      </c>
      <c r="L27" t="s">
        <v>76</v>
      </c>
      <c r="M27" t="s">
        <v>209</v>
      </c>
      <c r="N27" t="s">
        <v>210</v>
      </c>
      <c r="O27" t="s">
        <v>211</v>
      </c>
      <c r="P27" t="s">
        <v>206</v>
      </c>
      <c r="Q27">
        <v>0.8</v>
      </c>
      <c r="R27">
        <v>0.8</v>
      </c>
      <c r="S27">
        <v>0.8</v>
      </c>
      <c r="T27" t="b">
        <v>0</v>
      </c>
      <c r="U27" s="1">
        <v>0.39</v>
      </c>
      <c r="V27" s="1">
        <v>0.39</v>
      </c>
      <c r="W27" s="1">
        <v>0.39</v>
      </c>
      <c r="X27" s="1">
        <v>0.39</v>
      </c>
      <c r="Y27" t="s">
        <v>80</v>
      </c>
      <c r="Z27" t="s">
        <v>81</v>
      </c>
      <c r="AA27" t="s">
        <v>82</v>
      </c>
      <c r="AB27" t="s">
        <v>83</v>
      </c>
      <c r="AC27" t="s">
        <v>99</v>
      </c>
      <c r="AD27" t="s">
        <v>85</v>
      </c>
      <c r="AE27" t="s">
        <v>86</v>
      </c>
      <c r="AF27" t="s">
        <v>87</v>
      </c>
      <c r="AG27" t="s">
        <v>88</v>
      </c>
      <c r="AH27" t="s">
        <v>105</v>
      </c>
      <c r="AI27" t="s">
        <v>106</v>
      </c>
      <c r="AJ27" t="s">
        <v>91</v>
      </c>
      <c r="AK27" t="s">
        <v>92</v>
      </c>
    </row>
    <row r="28" spans="1:37" x14ac:dyDescent="0.3">
      <c r="A28" t="s">
        <v>26</v>
      </c>
      <c r="B28" t="s">
        <v>302</v>
      </c>
      <c r="C28" t="s">
        <v>319</v>
      </c>
      <c r="D28" t="s">
        <v>311</v>
      </c>
      <c r="E28" t="s">
        <v>325</v>
      </c>
      <c r="F28">
        <v>4294</v>
      </c>
      <c r="G28">
        <v>7173318</v>
      </c>
      <c r="H28" t="s">
        <v>72</v>
      </c>
      <c r="I28" t="s">
        <v>95</v>
      </c>
      <c r="J28" t="s">
        <v>212</v>
      </c>
      <c r="K28" t="s">
        <v>213</v>
      </c>
      <c r="L28" t="s">
        <v>76</v>
      </c>
      <c r="M28" t="s">
        <v>214</v>
      </c>
      <c r="N28" t="s">
        <v>215</v>
      </c>
      <c r="O28" t="s">
        <v>216</v>
      </c>
      <c r="P28" t="s">
        <v>206</v>
      </c>
      <c r="Q28">
        <v>0.8</v>
      </c>
      <c r="R28">
        <v>0.8</v>
      </c>
      <c r="S28">
        <v>0.8</v>
      </c>
      <c r="T28" t="b">
        <v>0</v>
      </c>
      <c r="U28" s="1">
        <v>0.37</v>
      </c>
      <c r="V28" s="1">
        <v>0.37</v>
      </c>
      <c r="W28" s="1">
        <v>0.37</v>
      </c>
      <c r="X28" s="1">
        <v>0.37</v>
      </c>
      <c r="Y28" t="s">
        <v>96</v>
      </c>
      <c r="Z28" t="s">
        <v>97</v>
      </c>
      <c r="AA28" t="s">
        <v>82</v>
      </c>
      <c r="AB28" t="s">
        <v>98</v>
      </c>
      <c r="AC28" t="s">
        <v>99</v>
      </c>
      <c r="AD28" t="s">
        <v>85</v>
      </c>
      <c r="AE28" t="s">
        <v>86</v>
      </c>
      <c r="AF28" t="s">
        <v>87</v>
      </c>
      <c r="AG28" t="s">
        <v>88</v>
      </c>
      <c r="AH28" t="s">
        <v>133</v>
      </c>
      <c r="AI28" t="s">
        <v>134</v>
      </c>
      <c r="AJ28" t="s">
        <v>100</v>
      </c>
      <c r="AK28" t="s">
        <v>92</v>
      </c>
    </row>
    <row r="29" spans="1:37" x14ac:dyDescent="0.3">
      <c r="A29" t="s">
        <v>27</v>
      </c>
      <c r="B29" t="s">
        <v>312</v>
      </c>
      <c r="C29" t="s">
        <v>317</v>
      </c>
      <c r="D29" t="s">
        <v>311</v>
      </c>
      <c r="E29" t="s">
        <v>321</v>
      </c>
      <c r="F29">
        <v>26002</v>
      </c>
      <c r="G29">
        <v>40890219</v>
      </c>
      <c r="H29" t="s">
        <v>72</v>
      </c>
      <c r="I29" t="s">
        <v>93</v>
      </c>
      <c r="J29" t="s">
        <v>217</v>
      </c>
      <c r="K29" t="s">
        <v>218</v>
      </c>
      <c r="L29" t="s">
        <v>76</v>
      </c>
      <c r="M29" t="s">
        <v>219</v>
      </c>
      <c r="N29" t="s">
        <v>220</v>
      </c>
      <c r="O29" t="s">
        <v>221</v>
      </c>
      <c r="P29" t="s">
        <v>206</v>
      </c>
      <c r="Q29">
        <v>0.8</v>
      </c>
      <c r="R29">
        <v>0.8</v>
      </c>
      <c r="S29">
        <v>0.8</v>
      </c>
      <c r="T29" t="b">
        <v>0</v>
      </c>
      <c r="U29" s="1">
        <v>0.3</v>
      </c>
      <c r="V29" s="1">
        <v>0.3</v>
      </c>
      <c r="W29" s="1">
        <v>0.3</v>
      </c>
      <c r="X29" s="1">
        <v>0.3</v>
      </c>
      <c r="Y29" t="s">
        <v>80</v>
      </c>
      <c r="Z29" t="s">
        <v>81</v>
      </c>
      <c r="AA29" t="s">
        <v>82</v>
      </c>
      <c r="AB29" t="s">
        <v>83</v>
      </c>
      <c r="AC29" t="s">
        <v>99</v>
      </c>
      <c r="AD29" t="s">
        <v>85</v>
      </c>
      <c r="AE29" t="s">
        <v>86</v>
      </c>
      <c r="AF29" t="s">
        <v>87</v>
      </c>
      <c r="AG29" t="s">
        <v>88</v>
      </c>
      <c r="AH29" t="s">
        <v>105</v>
      </c>
      <c r="AI29" t="s">
        <v>106</v>
      </c>
      <c r="AJ29" t="s">
        <v>91</v>
      </c>
      <c r="AK29" t="s">
        <v>92</v>
      </c>
    </row>
    <row r="30" spans="1:37" x14ac:dyDescent="0.3">
      <c r="A30" t="s">
        <v>28</v>
      </c>
      <c r="B30" t="s">
        <v>312</v>
      </c>
      <c r="C30" t="s">
        <v>318</v>
      </c>
      <c r="D30" t="s">
        <v>311</v>
      </c>
      <c r="E30" t="s">
        <v>321</v>
      </c>
      <c r="F30">
        <v>14093</v>
      </c>
      <c r="G30">
        <v>20969131</v>
      </c>
      <c r="H30" t="s">
        <v>72</v>
      </c>
      <c r="I30" t="s">
        <v>93</v>
      </c>
      <c r="J30" t="s">
        <v>222</v>
      </c>
      <c r="K30" t="s">
        <v>223</v>
      </c>
      <c r="L30" t="s">
        <v>76</v>
      </c>
      <c r="M30" t="s">
        <v>224</v>
      </c>
      <c r="N30" t="s">
        <v>225</v>
      </c>
      <c r="O30" t="s">
        <v>226</v>
      </c>
      <c r="P30" t="s">
        <v>206</v>
      </c>
      <c r="Q30">
        <v>0.8</v>
      </c>
      <c r="R30">
        <v>0.8</v>
      </c>
      <c r="S30">
        <v>0.8</v>
      </c>
      <c r="T30" t="b">
        <v>0</v>
      </c>
      <c r="U30" s="1">
        <v>0.28999999999999998</v>
      </c>
      <c r="V30" s="1">
        <v>0.28999999999999998</v>
      </c>
      <c r="W30" s="1">
        <v>0.28999999999999998</v>
      </c>
      <c r="X30" s="1">
        <v>0.28999999999999998</v>
      </c>
      <c r="Y30" t="s">
        <v>80</v>
      </c>
      <c r="Z30" t="s">
        <v>81</v>
      </c>
      <c r="AA30" t="s">
        <v>82</v>
      </c>
      <c r="AB30" t="s">
        <v>83</v>
      </c>
      <c r="AC30" t="s">
        <v>99</v>
      </c>
      <c r="AD30" t="s">
        <v>85</v>
      </c>
      <c r="AE30" t="s">
        <v>86</v>
      </c>
      <c r="AF30" t="s">
        <v>87</v>
      </c>
      <c r="AG30" t="s">
        <v>88</v>
      </c>
      <c r="AH30" t="s">
        <v>105</v>
      </c>
      <c r="AI30" t="s">
        <v>106</v>
      </c>
      <c r="AJ30" t="s">
        <v>91</v>
      </c>
      <c r="AK30" t="s">
        <v>92</v>
      </c>
    </row>
    <row r="31" spans="1:37" x14ac:dyDescent="0.3">
      <c r="A31" t="s">
        <v>29</v>
      </c>
      <c r="B31" t="s">
        <v>312</v>
      </c>
      <c r="C31" t="s">
        <v>319</v>
      </c>
      <c r="D31" t="s">
        <v>311</v>
      </c>
      <c r="E31" t="s">
        <v>325</v>
      </c>
      <c r="F31">
        <v>4839</v>
      </c>
      <c r="G31">
        <v>7158718</v>
      </c>
      <c r="H31" t="s">
        <v>72</v>
      </c>
      <c r="I31" t="s">
        <v>95</v>
      </c>
      <c r="J31" t="s">
        <v>227</v>
      </c>
      <c r="K31" t="s">
        <v>228</v>
      </c>
      <c r="L31" t="s">
        <v>76</v>
      </c>
      <c r="M31" t="s">
        <v>229</v>
      </c>
      <c r="N31" t="s">
        <v>230</v>
      </c>
      <c r="O31" t="s">
        <v>231</v>
      </c>
      <c r="P31" t="s">
        <v>206</v>
      </c>
      <c r="Q31">
        <v>0.8</v>
      </c>
      <c r="R31">
        <v>0.8</v>
      </c>
      <c r="S31">
        <v>0.8</v>
      </c>
      <c r="T31" t="b">
        <v>0</v>
      </c>
      <c r="U31" s="1">
        <v>0.51</v>
      </c>
      <c r="V31" s="1">
        <v>0.51</v>
      </c>
      <c r="W31" s="1">
        <v>0.51</v>
      </c>
      <c r="X31" s="1">
        <v>0.51</v>
      </c>
      <c r="Y31" t="s">
        <v>96</v>
      </c>
      <c r="Z31" t="s">
        <v>97</v>
      </c>
      <c r="AA31" t="s">
        <v>82</v>
      </c>
      <c r="AB31" t="s">
        <v>98</v>
      </c>
      <c r="AC31" t="s">
        <v>99</v>
      </c>
      <c r="AD31" t="s">
        <v>85</v>
      </c>
      <c r="AE31" t="s">
        <v>86</v>
      </c>
      <c r="AF31" t="s">
        <v>87</v>
      </c>
      <c r="AG31" t="s">
        <v>88</v>
      </c>
      <c r="AH31" t="s">
        <v>133</v>
      </c>
      <c r="AI31" t="s">
        <v>134</v>
      </c>
      <c r="AJ31" t="s">
        <v>100</v>
      </c>
      <c r="AK31" t="s">
        <v>92</v>
      </c>
    </row>
    <row r="32" spans="1:37" x14ac:dyDescent="0.3">
      <c r="A32" t="s">
        <v>30</v>
      </c>
      <c r="B32" t="s">
        <v>313</v>
      </c>
      <c r="C32" t="s">
        <v>317</v>
      </c>
      <c r="D32" t="s">
        <v>311</v>
      </c>
      <c r="E32" t="s">
        <v>321</v>
      </c>
      <c r="F32">
        <v>28385</v>
      </c>
      <c r="G32">
        <v>25893057</v>
      </c>
      <c r="H32" t="s">
        <v>72</v>
      </c>
      <c r="I32" t="s">
        <v>93</v>
      </c>
      <c r="J32" t="s">
        <v>232</v>
      </c>
      <c r="K32" t="s">
        <v>233</v>
      </c>
      <c r="L32" t="s">
        <v>76</v>
      </c>
      <c r="M32" t="s">
        <v>234</v>
      </c>
      <c r="N32" t="s">
        <v>235</v>
      </c>
      <c r="O32" t="s">
        <v>236</v>
      </c>
      <c r="P32" t="s">
        <v>206</v>
      </c>
      <c r="Q32">
        <v>0.8</v>
      </c>
      <c r="R32">
        <v>0.8</v>
      </c>
      <c r="S32">
        <v>0.8</v>
      </c>
      <c r="T32" t="b">
        <v>0</v>
      </c>
      <c r="U32" s="1">
        <v>0.28000000000000003</v>
      </c>
      <c r="V32" s="1">
        <v>0.28000000000000003</v>
      </c>
      <c r="W32" s="1">
        <v>0.28000000000000003</v>
      </c>
      <c r="X32" s="1">
        <v>0.28000000000000003</v>
      </c>
      <c r="Y32" t="s">
        <v>80</v>
      </c>
      <c r="Z32" t="s">
        <v>81</v>
      </c>
      <c r="AA32" t="s">
        <v>82</v>
      </c>
      <c r="AB32" t="s">
        <v>83</v>
      </c>
      <c r="AC32" t="s">
        <v>99</v>
      </c>
      <c r="AD32" t="s">
        <v>85</v>
      </c>
      <c r="AE32" t="s">
        <v>86</v>
      </c>
      <c r="AF32" t="s">
        <v>87</v>
      </c>
      <c r="AG32" t="s">
        <v>88</v>
      </c>
      <c r="AH32" t="s">
        <v>105</v>
      </c>
      <c r="AI32" t="s">
        <v>106</v>
      </c>
      <c r="AJ32" t="s">
        <v>91</v>
      </c>
      <c r="AK32" t="s">
        <v>92</v>
      </c>
    </row>
    <row r="33" spans="1:37" x14ac:dyDescent="0.3">
      <c r="A33" t="s">
        <v>31</v>
      </c>
      <c r="B33" t="s">
        <v>313</v>
      </c>
      <c r="C33" t="s">
        <v>318</v>
      </c>
      <c r="D33" t="s">
        <v>311</v>
      </c>
      <c r="E33" t="s">
        <v>321</v>
      </c>
      <c r="F33">
        <v>12607</v>
      </c>
      <c r="G33">
        <v>12144232</v>
      </c>
      <c r="H33" t="s">
        <v>72</v>
      </c>
      <c r="I33" t="s">
        <v>93</v>
      </c>
      <c r="J33" t="s">
        <v>237</v>
      </c>
      <c r="K33" t="s">
        <v>238</v>
      </c>
      <c r="L33" t="s">
        <v>76</v>
      </c>
      <c r="M33" t="s">
        <v>239</v>
      </c>
      <c r="N33" t="s">
        <v>240</v>
      </c>
      <c r="O33" t="s">
        <v>241</v>
      </c>
      <c r="P33" t="s">
        <v>206</v>
      </c>
      <c r="Q33">
        <v>0.8</v>
      </c>
      <c r="R33">
        <v>0.8</v>
      </c>
      <c r="S33">
        <v>0.8</v>
      </c>
      <c r="T33" t="b">
        <v>0</v>
      </c>
      <c r="U33" s="1">
        <v>0.33</v>
      </c>
      <c r="V33" s="1">
        <v>0.33</v>
      </c>
      <c r="W33" s="1">
        <v>0.33</v>
      </c>
      <c r="X33" s="1">
        <v>0.33</v>
      </c>
      <c r="Y33" t="s">
        <v>80</v>
      </c>
      <c r="Z33" t="s">
        <v>81</v>
      </c>
      <c r="AA33" t="s">
        <v>82</v>
      </c>
      <c r="AB33" t="s">
        <v>83</v>
      </c>
      <c r="AC33" t="s">
        <v>99</v>
      </c>
      <c r="AD33" t="s">
        <v>85</v>
      </c>
      <c r="AE33" t="s">
        <v>86</v>
      </c>
      <c r="AF33" t="s">
        <v>87</v>
      </c>
      <c r="AG33" t="s">
        <v>88</v>
      </c>
      <c r="AH33" t="s">
        <v>105</v>
      </c>
      <c r="AI33" t="s">
        <v>106</v>
      </c>
      <c r="AJ33" t="s">
        <v>91</v>
      </c>
      <c r="AK33" t="s">
        <v>92</v>
      </c>
    </row>
    <row r="34" spans="1:37" x14ac:dyDescent="0.3">
      <c r="A34" t="s">
        <v>32</v>
      </c>
      <c r="B34" t="s">
        <v>313</v>
      </c>
      <c r="C34" t="s">
        <v>319</v>
      </c>
      <c r="D34" t="s">
        <v>311</v>
      </c>
      <c r="E34" t="s">
        <v>325</v>
      </c>
      <c r="F34">
        <v>3566</v>
      </c>
      <c r="G34">
        <v>3436153</v>
      </c>
      <c r="H34" t="s">
        <v>72</v>
      </c>
      <c r="I34" t="s">
        <v>95</v>
      </c>
      <c r="J34" t="s">
        <v>242</v>
      </c>
      <c r="K34" t="s">
        <v>243</v>
      </c>
      <c r="L34" t="s">
        <v>76</v>
      </c>
      <c r="M34" t="s">
        <v>244</v>
      </c>
      <c r="N34" t="s">
        <v>245</v>
      </c>
      <c r="O34" t="s">
        <v>246</v>
      </c>
      <c r="P34" t="s">
        <v>206</v>
      </c>
      <c r="Q34">
        <v>0.8</v>
      </c>
      <c r="R34">
        <v>0.8</v>
      </c>
      <c r="S34">
        <v>0.8</v>
      </c>
      <c r="T34" t="b">
        <v>0</v>
      </c>
      <c r="U34" s="1">
        <v>0.32</v>
      </c>
      <c r="V34" s="1">
        <v>0.32</v>
      </c>
      <c r="W34" s="1">
        <v>0.32</v>
      </c>
      <c r="X34" s="1">
        <v>0.32</v>
      </c>
      <c r="Y34" t="s">
        <v>96</v>
      </c>
      <c r="Z34" t="s">
        <v>97</v>
      </c>
      <c r="AA34" t="s">
        <v>82</v>
      </c>
      <c r="AB34" t="s">
        <v>98</v>
      </c>
      <c r="AC34" t="s">
        <v>99</v>
      </c>
      <c r="AD34" t="s">
        <v>85</v>
      </c>
      <c r="AE34" t="s">
        <v>86</v>
      </c>
      <c r="AF34" t="s">
        <v>87</v>
      </c>
      <c r="AG34" t="s">
        <v>88</v>
      </c>
      <c r="AH34" t="s">
        <v>133</v>
      </c>
      <c r="AI34" t="s">
        <v>134</v>
      </c>
      <c r="AJ34" t="s">
        <v>100</v>
      </c>
      <c r="AK34" t="s">
        <v>92</v>
      </c>
    </row>
    <row r="35" spans="1:37" x14ac:dyDescent="0.3">
      <c r="A35" t="s">
        <v>33</v>
      </c>
      <c r="B35" t="s">
        <v>314</v>
      </c>
      <c r="C35" t="s">
        <v>317</v>
      </c>
      <c r="D35" t="s">
        <v>311</v>
      </c>
      <c r="E35" t="s">
        <v>321</v>
      </c>
      <c r="F35">
        <v>48954</v>
      </c>
      <c r="G35">
        <v>51806293</v>
      </c>
      <c r="H35" t="s">
        <v>72</v>
      </c>
      <c r="I35" t="s">
        <v>93</v>
      </c>
      <c r="J35" t="s">
        <v>247</v>
      </c>
      <c r="K35" t="s">
        <v>248</v>
      </c>
      <c r="L35" t="s">
        <v>76</v>
      </c>
      <c r="M35" t="s">
        <v>249</v>
      </c>
      <c r="N35" t="s">
        <v>250</v>
      </c>
      <c r="O35" t="s">
        <v>251</v>
      </c>
      <c r="P35" t="s">
        <v>206</v>
      </c>
      <c r="Q35">
        <v>0.8</v>
      </c>
      <c r="R35">
        <v>0.8</v>
      </c>
      <c r="S35">
        <v>0.8</v>
      </c>
      <c r="T35" t="b">
        <v>0</v>
      </c>
      <c r="U35" s="1">
        <v>0.26</v>
      </c>
      <c r="V35" s="1">
        <v>0.26</v>
      </c>
      <c r="W35" s="1">
        <v>0.26</v>
      </c>
      <c r="X35" s="1">
        <v>0.26</v>
      </c>
      <c r="Y35" t="s">
        <v>80</v>
      </c>
      <c r="Z35" t="s">
        <v>81</v>
      </c>
      <c r="AA35" t="s">
        <v>82</v>
      </c>
      <c r="AB35" t="s">
        <v>83</v>
      </c>
      <c r="AC35" t="s">
        <v>99</v>
      </c>
      <c r="AD35" t="s">
        <v>85</v>
      </c>
      <c r="AE35" t="s">
        <v>86</v>
      </c>
      <c r="AF35" t="s">
        <v>87</v>
      </c>
      <c r="AG35" t="s">
        <v>88</v>
      </c>
      <c r="AH35" t="s">
        <v>105</v>
      </c>
      <c r="AI35" t="s">
        <v>106</v>
      </c>
      <c r="AJ35" t="s">
        <v>91</v>
      </c>
      <c r="AK35" t="s">
        <v>92</v>
      </c>
    </row>
    <row r="36" spans="1:37" x14ac:dyDescent="0.3">
      <c r="A36" t="s">
        <v>34</v>
      </c>
      <c r="B36" t="s">
        <v>314</v>
      </c>
      <c r="C36" t="s">
        <v>318</v>
      </c>
      <c r="D36" t="s">
        <v>311</v>
      </c>
      <c r="E36" t="s">
        <v>321</v>
      </c>
      <c r="F36">
        <v>32317</v>
      </c>
      <c r="G36">
        <v>40040193</v>
      </c>
      <c r="H36" t="s">
        <v>72</v>
      </c>
      <c r="I36" t="s">
        <v>93</v>
      </c>
      <c r="J36" t="s">
        <v>252</v>
      </c>
      <c r="K36" t="s">
        <v>253</v>
      </c>
      <c r="L36" t="s">
        <v>76</v>
      </c>
      <c r="M36" t="s">
        <v>254</v>
      </c>
      <c r="N36" t="s">
        <v>255</v>
      </c>
      <c r="O36" t="s">
        <v>256</v>
      </c>
      <c r="P36" t="s">
        <v>206</v>
      </c>
      <c r="Q36">
        <v>0.8</v>
      </c>
      <c r="R36">
        <v>0.8</v>
      </c>
      <c r="S36">
        <v>0.8</v>
      </c>
      <c r="T36" t="b">
        <v>0</v>
      </c>
      <c r="U36" s="1">
        <v>0.21</v>
      </c>
      <c r="V36" s="1">
        <v>0.21</v>
      </c>
      <c r="W36" s="1">
        <v>0.21</v>
      </c>
      <c r="X36" s="1">
        <v>0.21</v>
      </c>
      <c r="Y36" t="s">
        <v>80</v>
      </c>
      <c r="Z36" t="s">
        <v>81</v>
      </c>
      <c r="AA36" t="s">
        <v>82</v>
      </c>
      <c r="AB36" t="s">
        <v>83</v>
      </c>
      <c r="AC36" t="s">
        <v>99</v>
      </c>
      <c r="AD36" t="s">
        <v>85</v>
      </c>
      <c r="AE36" t="s">
        <v>86</v>
      </c>
      <c r="AF36" t="s">
        <v>87</v>
      </c>
      <c r="AG36" t="s">
        <v>88</v>
      </c>
      <c r="AH36" t="s">
        <v>105</v>
      </c>
      <c r="AI36" t="s">
        <v>106</v>
      </c>
      <c r="AJ36" t="s">
        <v>91</v>
      </c>
      <c r="AK36" t="s">
        <v>92</v>
      </c>
    </row>
    <row r="37" spans="1:37" x14ac:dyDescent="0.3">
      <c r="A37" t="s">
        <v>35</v>
      </c>
      <c r="B37" t="s">
        <v>314</v>
      </c>
      <c r="C37" t="s">
        <v>319</v>
      </c>
      <c r="D37" t="s">
        <v>311</v>
      </c>
      <c r="E37" t="s">
        <v>325</v>
      </c>
      <c r="F37">
        <v>11555</v>
      </c>
      <c r="G37">
        <v>11263763</v>
      </c>
      <c r="H37" t="s">
        <v>72</v>
      </c>
      <c r="I37" t="s">
        <v>95</v>
      </c>
      <c r="J37" t="s">
        <v>257</v>
      </c>
      <c r="K37" t="s">
        <v>258</v>
      </c>
      <c r="L37" t="s">
        <v>76</v>
      </c>
      <c r="M37" t="s">
        <v>259</v>
      </c>
      <c r="N37" t="s">
        <v>260</v>
      </c>
      <c r="O37" t="s">
        <v>261</v>
      </c>
      <c r="P37" t="s">
        <v>206</v>
      </c>
      <c r="Q37">
        <v>0.8</v>
      </c>
      <c r="R37">
        <v>0.8</v>
      </c>
      <c r="S37">
        <v>0.8</v>
      </c>
      <c r="T37" t="b">
        <v>0</v>
      </c>
      <c r="U37" s="1">
        <v>0.19</v>
      </c>
      <c r="V37" s="1">
        <v>0.19</v>
      </c>
      <c r="W37" s="1">
        <v>0.19</v>
      </c>
      <c r="X37" s="1">
        <v>0.19</v>
      </c>
      <c r="Y37" t="s">
        <v>96</v>
      </c>
      <c r="Z37" t="s">
        <v>97</v>
      </c>
      <c r="AA37" t="s">
        <v>82</v>
      </c>
      <c r="AB37" t="s">
        <v>98</v>
      </c>
      <c r="AC37" t="s">
        <v>99</v>
      </c>
      <c r="AD37" t="s">
        <v>85</v>
      </c>
      <c r="AE37" t="s">
        <v>86</v>
      </c>
      <c r="AF37" t="s">
        <v>87</v>
      </c>
      <c r="AG37" t="s">
        <v>88</v>
      </c>
      <c r="AH37" t="s">
        <v>133</v>
      </c>
      <c r="AI37" t="s">
        <v>134</v>
      </c>
      <c r="AJ37" t="s">
        <v>100</v>
      </c>
      <c r="AK37" t="s">
        <v>92</v>
      </c>
    </row>
    <row r="38" spans="1:37" x14ac:dyDescent="0.3">
      <c r="A38" t="s">
        <v>36</v>
      </c>
      <c r="B38" t="s">
        <v>315</v>
      </c>
      <c r="C38" t="s">
        <v>317</v>
      </c>
      <c r="D38" t="s">
        <v>311</v>
      </c>
      <c r="E38" t="s">
        <v>321</v>
      </c>
      <c r="F38">
        <v>23111</v>
      </c>
      <c r="G38">
        <v>22301561</v>
      </c>
      <c r="H38" t="s">
        <v>72</v>
      </c>
      <c r="I38" t="s">
        <v>93</v>
      </c>
      <c r="J38" t="s">
        <v>262</v>
      </c>
      <c r="K38" t="s">
        <v>263</v>
      </c>
      <c r="L38" t="s">
        <v>76</v>
      </c>
      <c r="M38" t="s">
        <v>264</v>
      </c>
      <c r="N38" t="s">
        <v>265</v>
      </c>
      <c r="O38" t="s">
        <v>266</v>
      </c>
      <c r="P38" t="s">
        <v>206</v>
      </c>
      <c r="Q38">
        <v>0.8</v>
      </c>
      <c r="R38">
        <v>0.8</v>
      </c>
      <c r="S38">
        <v>0.8</v>
      </c>
      <c r="T38" t="b">
        <v>0</v>
      </c>
      <c r="U38" s="1">
        <v>0.24</v>
      </c>
      <c r="V38" s="1">
        <v>0.24</v>
      </c>
      <c r="W38" s="1">
        <v>0.24</v>
      </c>
      <c r="X38" s="1">
        <v>0.24</v>
      </c>
      <c r="Y38" t="s">
        <v>80</v>
      </c>
      <c r="Z38" t="s">
        <v>81</v>
      </c>
      <c r="AA38" t="s">
        <v>82</v>
      </c>
      <c r="AB38" t="s">
        <v>83</v>
      </c>
      <c r="AC38" t="s">
        <v>99</v>
      </c>
      <c r="AD38" t="s">
        <v>85</v>
      </c>
      <c r="AE38" t="s">
        <v>86</v>
      </c>
      <c r="AF38" t="s">
        <v>87</v>
      </c>
      <c r="AG38" t="s">
        <v>88</v>
      </c>
      <c r="AH38" t="s">
        <v>105</v>
      </c>
      <c r="AI38" t="s">
        <v>106</v>
      </c>
      <c r="AJ38" t="s">
        <v>91</v>
      </c>
      <c r="AK38" t="s">
        <v>92</v>
      </c>
    </row>
    <row r="39" spans="1:37" x14ac:dyDescent="0.3">
      <c r="A39" t="s">
        <v>37</v>
      </c>
      <c r="B39" t="s">
        <v>315</v>
      </c>
      <c r="C39" t="s">
        <v>318</v>
      </c>
      <c r="D39" t="s">
        <v>311</v>
      </c>
      <c r="E39" t="s">
        <v>321</v>
      </c>
      <c r="F39">
        <v>16529</v>
      </c>
      <c r="G39">
        <v>22895487</v>
      </c>
      <c r="H39" t="s">
        <v>72</v>
      </c>
      <c r="I39" t="s">
        <v>93</v>
      </c>
      <c r="J39" t="s">
        <v>267</v>
      </c>
      <c r="K39" t="s">
        <v>268</v>
      </c>
      <c r="L39" t="s">
        <v>76</v>
      </c>
      <c r="M39" t="s">
        <v>269</v>
      </c>
      <c r="N39" t="s">
        <v>270</v>
      </c>
      <c r="O39" t="s">
        <v>271</v>
      </c>
      <c r="P39" t="s">
        <v>206</v>
      </c>
      <c r="Q39">
        <v>0.8</v>
      </c>
      <c r="R39">
        <v>0.8</v>
      </c>
      <c r="S39">
        <v>0.8</v>
      </c>
      <c r="T39" t="b">
        <v>0</v>
      </c>
      <c r="U39" s="1">
        <v>0.23</v>
      </c>
      <c r="V39" s="1">
        <v>0.23</v>
      </c>
      <c r="W39" s="1">
        <v>0.23</v>
      </c>
      <c r="X39" s="1">
        <v>0.23</v>
      </c>
      <c r="Y39" t="s">
        <v>80</v>
      </c>
      <c r="Z39" t="s">
        <v>81</v>
      </c>
      <c r="AA39" t="s">
        <v>82</v>
      </c>
      <c r="AB39" t="s">
        <v>83</v>
      </c>
      <c r="AC39" t="s">
        <v>99</v>
      </c>
      <c r="AD39" t="s">
        <v>85</v>
      </c>
      <c r="AE39" t="s">
        <v>86</v>
      </c>
      <c r="AF39" t="s">
        <v>87</v>
      </c>
      <c r="AG39" t="s">
        <v>88</v>
      </c>
      <c r="AH39" t="s">
        <v>105</v>
      </c>
      <c r="AI39" t="s">
        <v>106</v>
      </c>
      <c r="AJ39" t="s">
        <v>91</v>
      </c>
      <c r="AK39" t="s">
        <v>92</v>
      </c>
    </row>
    <row r="40" spans="1:37" x14ac:dyDescent="0.3">
      <c r="A40" t="s">
        <v>38</v>
      </c>
      <c r="B40" t="s">
        <v>315</v>
      </c>
      <c r="C40" t="s">
        <v>319</v>
      </c>
      <c r="D40" t="s">
        <v>311</v>
      </c>
      <c r="E40" t="s">
        <v>325</v>
      </c>
      <c r="F40">
        <v>4057</v>
      </c>
      <c r="G40">
        <v>6281149</v>
      </c>
      <c r="H40" t="s">
        <v>72</v>
      </c>
      <c r="I40" t="s">
        <v>95</v>
      </c>
      <c r="J40" t="s">
        <v>272</v>
      </c>
      <c r="K40" t="s">
        <v>273</v>
      </c>
      <c r="L40" t="s">
        <v>76</v>
      </c>
      <c r="M40" t="s">
        <v>274</v>
      </c>
      <c r="N40" t="s">
        <v>275</v>
      </c>
      <c r="O40" t="s">
        <v>276</v>
      </c>
      <c r="P40" t="s">
        <v>206</v>
      </c>
      <c r="Q40">
        <v>0.8</v>
      </c>
      <c r="R40">
        <v>0.8</v>
      </c>
      <c r="S40">
        <v>0.8</v>
      </c>
      <c r="T40" t="b">
        <v>0</v>
      </c>
      <c r="U40" s="1">
        <v>0.4</v>
      </c>
      <c r="V40" s="1">
        <v>0.4</v>
      </c>
      <c r="W40" s="1">
        <v>0.4</v>
      </c>
      <c r="X40" s="1">
        <v>0.4</v>
      </c>
      <c r="Y40" t="s">
        <v>96</v>
      </c>
      <c r="Z40" t="s">
        <v>97</v>
      </c>
      <c r="AA40" t="s">
        <v>82</v>
      </c>
      <c r="AB40" t="s">
        <v>98</v>
      </c>
      <c r="AC40" t="s">
        <v>99</v>
      </c>
      <c r="AD40" t="s">
        <v>85</v>
      </c>
      <c r="AE40" t="s">
        <v>86</v>
      </c>
      <c r="AF40" t="s">
        <v>87</v>
      </c>
      <c r="AG40" t="s">
        <v>88</v>
      </c>
      <c r="AH40" t="s">
        <v>133</v>
      </c>
      <c r="AI40" t="s">
        <v>134</v>
      </c>
      <c r="AJ40" t="s">
        <v>100</v>
      </c>
      <c r="AK40" t="s">
        <v>92</v>
      </c>
    </row>
    <row r="41" spans="1:37" x14ac:dyDescent="0.3">
      <c r="A41" t="s">
        <v>39</v>
      </c>
      <c r="B41" t="s">
        <v>316</v>
      </c>
      <c r="C41" t="s">
        <v>317</v>
      </c>
      <c r="D41" t="s">
        <v>311</v>
      </c>
      <c r="E41" t="s">
        <v>321</v>
      </c>
      <c r="F41">
        <v>5013</v>
      </c>
      <c r="G41">
        <v>4813233</v>
      </c>
      <c r="H41" t="s">
        <v>72</v>
      </c>
      <c r="I41" t="s">
        <v>93</v>
      </c>
      <c r="J41" t="s">
        <v>277</v>
      </c>
      <c r="K41" t="s">
        <v>278</v>
      </c>
      <c r="L41" t="s">
        <v>76</v>
      </c>
      <c r="M41" t="s">
        <v>279</v>
      </c>
      <c r="N41" t="s">
        <v>280</v>
      </c>
      <c r="O41" t="s">
        <v>281</v>
      </c>
      <c r="P41" t="s">
        <v>206</v>
      </c>
      <c r="Q41">
        <v>0.8</v>
      </c>
      <c r="R41">
        <v>0.8</v>
      </c>
      <c r="S41">
        <v>0.8</v>
      </c>
      <c r="T41" t="b">
        <v>0</v>
      </c>
      <c r="U41" s="1">
        <v>0.42</v>
      </c>
      <c r="V41" s="1">
        <v>0.42</v>
      </c>
      <c r="W41" s="1">
        <v>0.42</v>
      </c>
      <c r="X41" s="1">
        <v>0.42</v>
      </c>
      <c r="Y41" t="s">
        <v>80</v>
      </c>
      <c r="Z41" t="s">
        <v>81</v>
      </c>
      <c r="AA41" t="s">
        <v>82</v>
      </c>
      <c r="AB41" t="s">
        <v>83</v>
      </c>
      <c r="AC41" t="s">
        <v>99</v>
      </c>
      <c r="AD41" t="s">
        <v>85</v>
      </c>
      <c r="AE41" t="s">
        <v>86</v>
      </c>
      <c r="AF41" t="s">
        <v>87</v>
      </c>
      <c r="AG41" t="s">
        <v>88</v>
      </c>
      <c r="AH41" t="s">
        <v>105</v>
      </c>
      <c r="AI41" t="s">
        <v>106</v>
      </c>
      <c r="AJ41" t="s">
        <v>91</v>
      </c>
      <c r="AK41" t="s">
        <v>92</v>
      </c>
    </row>
    <row r="42" spans="1:37" x14ac:dyDescent="0.3">
      <c r="A42" t="s">
        <v>40</v>
      </c>
      <c r="B42" t="s">
        <v>316</v>
      </c>
      <c r="C42" t="s">
        <v>318</v>
      </c>
      <c r="D42" t="s">
        <v>311</v>
      </c>
      <c r="E42" t="s">
        <v>321</v>
      </c>
      <c r="F42">
        <v>3316</v>
      </c>
      <c r="G42">
        <v>4356170</v>
      </c>
      <c r="H42" t="s">
        <v>72</v>
      </c>
      <c r="I42" t="s">
        <v>93</v>
      </c>
      <c r="J42" t="s">
        <v>282</v>
      </c>
      <c r="K42" t="s">
        <v>283</v>
      </c>
      <c r="L42" t="s">
        <v>76</v>
      </c>
      <c r="M42" t="s">
        <v>284</v>
      </c>
      <c r="N42" t="s">
        <v>285</v>
      </c>
      <c r="O42" t="s">
        <v>286</v>
      </c>
      <c r="P42" t="s">
        <v>206</v>
      </c>
      <c r="Q42">
        <v>0.8</v>
      </c>
      <c r="R42">
        <v>0.8</v>
      </c>
      <c r="S42">
        <v>0.8</v>
      </c>
      <c r="T42" t="b">
        <v>0</v>
      </c>
      <c r="U42" s="1">
        <v>0.06</v>
      </c>
      <c r="V42" s="1">
        <v>0.06</v>
      </c>
      <c r="W42" s="1">
        <v>0.06</v>
      </c>
      <c r="X42" s="1">
        <v>0.06</v>
      </c>
      <c r="Y42" t="s">
        <v>80</v>
      </c>
      <c r="Z42" t="s">
        <v>81</v>
      </c>
      <c r="AA42" t="s">
        <v>82</v>
      </c>
      <c r="AB42" t="s">
        <v>83</v>
      </c>
      <c r="AC42" t="s">
        <v>99</v>
      </c>
      <c r="AD42" t="s">
        <v>85</v>
      </c>
      <c r="AE42" t="s">
        <v>86</v>
      </c>
      <c r="AF42" t="s">
        <v>87</v>
      </c>
      <c r="AG42" t="s">
        <v>88</v>
      </c>
      <c r="AH42" t="s">
        <v>105</v>
      </c>
      <c r="AI42" t="s">
        <v>106</v>
      </c>
      <c r="AJ42" t="s">
        <v>91</v>
      </c>
      <c r="AK42" t="s">
        <v>92</v>
      </c>
    </row>
    <row r="43" spans="1:37" x14ac:dyDescent="0.3">
      <c r="A43" t="s">
        <v>41</v>
      </c>
      <c r="B43" t="s">
        <v>316</v>
      </c>
      <c r="C43" t="s">
        <v>319</v>
      </c>
      <c r="D43" t="s">
        <v>311</v>
      </c>
      <c r="E43" t="s">
        <v>325</v>
      </c>
      <c r="F43">
        <v>869</v>
      </c>
      <c r="G43">
        <v>1620263</v>
      </c>
      <c r="H43" t="s">
        <v>72</v>
      </c>
      <c r="I43" t="s">
        <v>95</v>
      </c>
      <c r="J43" t="s">
        <v>287</v>
      </c>
      <c r="K43" t="s">
        <v>288</v>
      </c>
      <c r="L43" t="s">
        <v>76</v>
      </c>
      <c r="M43" t="s">
        <v>289</v>
      </c>
      <c r="N43" t="s">
        <v>290</v>
      </c>
      <c r="O43" t="s">
        <v>291</v>
      </c>
      <c r="P43" t="s">
        <v>206</v>
      </c>
      <c r="Q43">
        <v>0.8</v>
      </c>
      <c r="R43">
        <v>0.8</v>
      </c>
      <c r="S43">
        <v>0.8</v>
      </c>
      <c r="T43" t="b">
        <v>0</v>
      </c>
      <c r="U43" s="1">
        <v>0.1</v>
      </c>
      <c r="V43" s="1">
        <v>0.1</v>
      </c>
      <c r="W43" s="1">
        <v>0.1</v>
      </c>
      <c r="X43" s="1">
        <v>0.1</v>
      </c>
      <c r="Y43" t="s">
        <v>96</v>
      </c>
      <c r="Z43" t="s">
        <v>97</v>
      </c>
      <c r="AA43" t="s">
        <v>82</v>
      </c>
      <c r="AB43" t="s">
        <v>98</v>
      </c>
      <c r="AC43" t="s">
        <v>99</v>
      </c>
      <c r="AD43" t="s">
        <v>85</v>
      </c>
      <c r="AE43" t="s">
        <v>86</v>
      </c>
      <c r="AF43" t="s">
        <v>87</v>
      </c>
      <c r="AG43" t="s">
        <v>88</v>
      </c>
      <c r="AH43" t="s">
        <v>133</v>
      </c>
      <c r="AI43" t="s">
        <v>134</v>
      </c>
      <c r="AJ43" t="s">
        <v>100</v>
      </c>
      <c r="AK43" t="s">
        <v>92</v>
      </c>
    </row>
    <row r="44" spans="1:37" x14ac:dyDescent="0.3">
      <c r="F44">
        <f>SUM(F2:F43)</f>
        <v>2416570</v>
      </c>
      <c r="G44">
        <f>SUM(G2:G43)</f>
        <v>878085437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Drexel</dc:creator>
  <cp:lastModifiedBy>Raphael Drexel</cp:lastModifiedBy>
  <dcterms:created xsi:type="dcterms:W3CDTF">2015-06-05T18:19:34Z</dcterms:created>
  <dcterms:modified xsi:type="dcterms:W3CDTF">2025-11-25T13:41:08Z</dcterms:modified>
</cp:coreProperties>
</file>