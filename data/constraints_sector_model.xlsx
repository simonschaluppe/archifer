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0026.NB-MA0026\Documents\archifer\data\"/>
    </mc:Choice>
  </mc:AlternateContent>
  <xr:revisionPtr revIDLastSave="0" documentId="13_ncr:1_{FA31926A-375B-446E-B218-9F3861180C95}" xr6:coauthVersionLast="47" xr6:coauthVersionMax="47" xr10:uidLastSave="{00000000-0000-0000-0000-000000000000}"/>
  <bookViews>
    <workbookView xWindow="13935" yWindow="-21810" windowWidth="38640" windowHeight="21120" activeTab="2" xr2:uid="{675A66AE-0C9B-47B8-A3BC-119353CCB9E0}"/>
  </bookViews>
  <sheets>
    <sheet name="constraints" sheetId="1" r:id="rId1"/>
    <sheet name="NGF_simplified" sheetId="6" r:id="rId2"/>
    <sheet name="NGF" sheetId="2" r:id="rId3"/>
    <sheet name="geometry" sheetId="5" r:id="rId4"/>
    <sheet name="EE" sheetId="3" r:id="rId5"/>
    <sheet name="renova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81" i="2" l="1" a="1"/>
  <c r="M81" i="2" s="1"/>
  <c r="M80" i="2" a="1"/>
  <c r="M80" i="2" s="1"/>
  <c r="M79" i="2" a="1"/>
  <c r="M79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3" i="2" a="1"/>
  <c r="M73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2" i="2" a="1"/>
  <c r="M62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3" i="2" a="1"/>
  <c r="M53" i="2" s="1"/>
  <c r="M52" i="2" a="1"/>
  <c r="M52" i="2" s="1"/>
  <c r="M51" i="2" a="1"/>
  <c r="M51" i="2" s="1"/>
  <c r="M50" i="2" a="1"/>
  <c r="M50" i="2" s="1"/>
  <c r="M49" i="2" a="1"/>
  <c r="M49" i="2" s="1"/>
  <c r="M48" i="2" a="1"/>
  <c r="M48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1" i="2" a="1"/>
  <c r="M41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3" i="2" a="1"/>
  <c r="M33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3" i="2" a="1"/>
  <c r="M13" i="2" s="1"/>
  <c r="M12" i="2" a="1"/>
  <c r="M12" i="2" s="1"/>
  <c r="M11" i="2" a="1"/>
  <c r="M11" i="2" s="1"/>
  <c r="M10" i="2" a="1"/>
  <c r="M10" i="2" s="1"/>
  <c r="M3" i="2" a="1"/>
  <c r="M3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2" i="2" a="1"/>
  <c r="M2" i="2" s="1"/>
  <c r="E39" i="5" l="1"/>
  <c r="C39" i="5"/>
  <c r="E38" i="5"/>
  <c r="C38" i="5"/>
  <c r="E37" i="5"/>
  <c r="C37" i="5"/>
  <c r="E36" i="5"/>
  <c r="C36" i="5"/>
  <c r="E35" i="5"/>
  <c r="C35" i="5"/>
  <c r="E34" i="5"/>
  <c r="C34" i="5"/>
  <c r="E30" i="5"/>
  <c r="C30" i="5"/>
  <c r="E29" i="5"/>
  <c r="C29" i="5"/>
  <c r="E28" i="5"/>
  <c r="C28" i="5"/>
  <c r="E27" i="5"/>
  <c r="C27" i="5"/>
  <c r="E26" i="5"/>
  <c r="C26" i="5"/>
  <c r="E25" i="5"/>
  <c r="C25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<sst xmlns="http://schemas.openxmlformats.org/spreadsheetml/2006/main" count="4280" uniqueCount="100">
  <si>
    <t>building_specific_value</t>
  </si>
  <si>
    <t>variable_name</t>
  </si>
  <si>
    <t>sectoral_filter</t>
  </si>
  <si>
    <t>equality_type</t>
  </si>
  <si>
    <t>building_sector_target_value</t>
  </si>
  <si>
    <t>Weightings</t>
  </si>
  <si>
    <t>Kommentar</t>
  </si>
  <si>
    <t>Decision Variable</t>
  </si>
  <si>
    <t>building_energy_data[Heiwärmebedarf_Quartier_kWh/m²NGFa]</t>
  </si>
  <si>
    <t>UED_heating</t>
  </si>
  <si>
    <t>-</t>
  </si>
  <si>
    <t>equal</t>
  </si>
  <si>
    <t>Energiezukunft 2040</t>
  </si>
  <si>
    <t>Total Net Floor Area</t>
  </si>
  <si>
    <t>building_energy_data[Sonstige_Quartier_kWh/m²NGFa]</t>
  </si>
  <si>
    <t>EUI_other</t>
  </si>
  <si>
    <t>building_energy_data[Gas_Quartier_kWh/m²NGFa]</t>
  </si>
  <si>
    <t>EUI_natural_gas</t>
  </si>
  <si>
    <t>building_energy_data[Biomasse_Quartier_kWh/m²NGFa]</t>
  </si>
  <si>
    <t>EUI_biomass</t>
  </si>
  <si>
    <t>building_energy_data[Fernwärme_Quartier_kWh/m²NGFa]</t>
  </si>
  <si>
    <t>EUI_district_heating</t>
  </si>
  <si>
    <t>building_energy_data[m²NGF]</t>
  </si>
  <si>
    <t>renovated</t>
  </si>
  <si>
    <t>33%*total_ngf_area</t>
  </si>
  <si>
    <t>renovated&amp;Building_Period[bis 1944]</t>
  </si>
  <si>
    <t>9%*33%*total_ngf_area</t>
  </si>
  <si>
    <t>renovated&amp;Building_Period[1945 - 1989]</t>
  </si>
  <si>
    <t>82%*33%*total_ngf_area</t>
  </si>
  <si>
    <t>renovated&amp;Building_Period[1990 - 1999]</t>
  </si>
  <si>
    <t>7%*33%*total_ngf_area</t>
  </si>
  <si>
    <t>renovated&amp;Building_Period[2000 - 2020]</t>
  </si>
  <si>
    <t>1%*33%*total_ngf_area</t>
  </si>
  <si>
    <t>Nettogrundfläche in Quadratmetern (in Klassen) (Ebene +1)[Unter 200 Quadratmeter]</t>
  </si>
  <si>
    <t>Bauperiode (Ebene +2)[Vor 1919]</t>
  </si>
  <si>
    <t>Spalte1</t>
  </si>
  <si>
    <t>Jahr</t>
  </si>
  <si>
    <t>Region – Gebietsstand 2023 (Ebene +2)</t>
  </si>
  <si>
    <t>Gebäudeigenschaft (überwiegende Nutzung) (Ebene +2)</t>
  </si>
  <si>
    <t>Nettogrundfläche in Quadratmetern (in Klassen) (Ebene +1)</t>
  </si>
  <si>
    <t>Zusammen</t>
  </si>
  <si>
    <t>Andere Gebäude</t>
  </si>
  <si>
    <t>Unter 200 Quadratmeter</t>
  </si>
  <si>
    <t>200 bis unter 300 Quadratmeter</t>
  </si>
  <si>
    <t>300 bis unter 500 Quadratmeter</t>
  </si>
  <si>
    <t>500 bis unter 1 000 Quadratmeter</t>
  </si>
  <si>
    <t>1 000 Quadratmeter und mehr</t>
  </si>
  <si>
    <t>Wohngebäude</t>
  </si>
  <si>
    <t>Burgenland</t>
  </si>
  <si>
    <t>Kärnten</t>
  </si>
  <si>
    <t>Niederösterreich</t>
  </si>
  <si>
    <t>Oberösterreich</t>
  </si>
  <si>
    <t>Salzburg</t>
  </si>
  <si>
    <t>Steiermark</t>
  </si>
  <si>
    <t>Tirol</t>
  </si>
  <si>
    <t>Vorarlberg</t>
  </si>
  <si>
    <t>Wien</t>
  </si>
  <si>
    <t>Gas_Quartier_kWh/m²NGFa</t>
  </si>
  <si>
    <t>Biomasse_Quartier_kWh/m²NGFa</t>
  </si>
  <si>
    <t>Fernwärme_Quartier_kWh/m²NGFa</t>
  </si>
  <si>
    <t>Building Period</t>
  </si>
  <si>
    <t>bis 1944</t>
  </si>
  <si>
    <t>1945 - 1989</t>
  </si>
  <si>
    <t>1990 - 1999</t>
  </si>
  <si>
    <t>2000 - 2020</t>
  </si>
  <si>
    <t>Netzstrom_Heizen_kWh/m²NGFa</t>
  </si>
  <si>
    <t>Sonstige_Quartier_kWh/m²NGFa</t>
  </si>
  <si>
    <t>Energy Supply</t>
  </si>
  <si>
    <t>Heat Pump</t>
  </si>
  <si>
    <t>Warmwasser_Endenergiebedarf_kWh/m²NGFa</t>
  </si>
  <si>
    <t>Heizen_Endenergiebedarf_kWh/m²NGFa</t>
  </si>
  <si>
    <t>target_column</t>
  </si>
  <si>
    <t>target_value</t>
  </si>
  <si>
    <t>tatget_value</t>
  </si>
  <si>
    <t>Electricity (direct)</t>
  </si>
  <si>
    <t>nach 2020</t>
  </si>
  <si>
    <t>bis 1978</t>
  </si>
  <si>
    <t>1979 - 2009</t>
  </si>
  <si>
    <t>2010 - 2030</t>
  </si>
  <si>
    <t>Geometry</t>
  </si>
  <si>
    <t>Gebäudepool res</t>
  </si>
  <si>
    <t>EFHo</t>
  </si>
  <si>
    <t>EFHk</t>
  </si>
  <si>
    <t>MFHo</t>
  </si>
  <si>
    <t>MFHk</t>
  </si>
  <si>
    <t>GWBk</t>
  </si>
  <si>
    <t>GWBg</t>
  </si>
  <si>
    <t>Gebäudepool nonres</t>
  </si>
  <si>
    <t>DLG1k</t>
  </si>
  <si>
    <t>DLG1g</t>
  </si>
  <si>
    <t>DLG2k</t>
  </si>
  <si>
    <t>DLG2g</t>
  </si>
  <si>
    <t>DLG3k</t>
  </si>
  <si>
    <t>DLG3g</t>
  </si>
  <si>
    <t>Gebäudetype</t>
  </si>
  <si>
    <t>m² BGF</t>
  </si>
  <si>
    <t>m²Dachfläche</t>
  </si>
  <si>
    <t>Anzahl Stockwerke</t>
  </si>
  <si>
    <t>m²NGF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</si>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</sst>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indexed="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5" fillId="7" borderId="2">
      <alignment horizontal="center" vertical="center"/>
      <protection locked="0"/>
    </xf>
  </cellStyleXfs>
  <cellXfs count="2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1" applyFont="1"/>
    <xf numFmtId="0" fontId="2" fillId="0" borderId="0" xfId="1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0" fontId="4" fillId="6" borderId="1" xfId="0" applyFont="1" applyFill="1" applyBorder="1" applyAlignment="1">
      <alignment horizontal="left"/>
    </xf>
    <xf numFmtId="0" fontId="6" fillId="8" borderId="3" xfId="2" applyFont="1" applyFill="1" applyBorder="1" applyAlignment="1" applyProtection="1">
      <alignment horizontal="left" vertical="center"/>
    </xf>
    <xf numFmtId="0" fontId="6" fillId="9" borderId="3" xfId="2" applyFont="1" applyFill="1" applyBorder="1" applyAlignment="1" applyProtection="1">
      <alignment horizontal="left" vertical="center"/>
    </xf>
    <xf numFmtId="0" fontId="0" fillId="10" borderId="1" xfId="0" applyFill="1" applyBorder="1"/>
    <xf numFmtId="0" fontId="0" fillId="10" borderId="4" xfId="0" applyFill="1" applyBorder="1"/>
    <xf numFmtId="0" fontId="0" fillId="10" borderId="5" xfId="0" applyFill="1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6" fillId="11" borderId="3" xfId="2" applyFont="1" applyFill="1" applyBorder="1" applyAlignment="1" applyProtection="1">
      <alignment horizontal="left" vertical="center"/>
    </xf>
    <xf numFmtId="0" fontId="7" fillId="12" borderId="6" xfId="0" applyFont="1" applyFill="1" applyBorder="1" applyAlignment="1">
      <alignment horizontal="left" vertical="top"/>
    </xf>
    <xf numFmtId="0" fontId="6" fillId="8" borderId="7" xfId="2" applyFont="1" applyFill="1" applyBorder="1" applyAlignment="1" applyProtection="1">
      <alignment horizontal="left" vertical="center"/>
    </xf>
    <xf numFmtId="0" fontId="7" fillId="12" borderId="0" xfId="0" applyFont="1" applyFill="1" applyAlignment="1">
      <alignment horizontal="left" vertical="top"/>
    </xf>
    <xf numFmtId="9" fontId="0" fillId="0" borderId="0" xfId="0" applyNumberFormat="1"/>
    <xf numFmtId="0" fontId="8" fillId="13" borderId="0" xfId="0" applyFont="1" applyFill="1"/>
    <xf numFmtId="1" fontId="8" fillId="13" borderId="0" xfId="0" applyNumberFormat="1" applyFont="1" applyFill="1"/>
    <xf numFmtId="0" fontId="6" fillId="8" borderId="3" xfId="2" applyFont="1" applyFill="1" applyBorder="1" applyAlignment="1">
      <alignment horizontal="left" vertical="center"/>
      <protection locked="0"/>
    </xf>
  </cellXfs>
  <cellStyles count="3">
    <cellStyle name="column field" xfId="2" xr:uid="{20FCE168-9F13-4F8E-89F1-BF378D0A58F1}"/>
    <cellStyle name="Link" xfId="1" builtinId="8"/>
    <cellStyle name="Standard" xfId="0" builtinId="0"/>
  </cellStyles>
  <dxfs count="12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7AB55-3DA2-496C-88D3-7E34BDB521A0}" name="constraints" displayName="constraints" ref="A1:I13" totalsRowShown="0">
  <autoFilter ref="A1:I13" xr:uid="{BF5D30AF-7AF6-47AE-A284-70BDC5F48B67}"/>
  <tableColumns count="9">
    <tableColumn id="1" xr3:uid="{DA710278-388F-4C34-B9D1-9DAE3450DCDA}" name="building_specific_value"/>
    <tableColumn id="4" xr3:uid="{7FF4510E-53C2-469F-89A5-DCC6E7F2B6F2}" name="Spalte1"/>
    <tableColumn id="2" xr3:uid="{03D560F4-BC64-40FA-81F5-1BB93FA30FE2}" name="variable_name"/>
    <tableColumn id="3" xr3:uid="{87F92CEF-FF8D-4DAF-A4C3-4650E1C8175B}" name="sectoral_filter"/>
    <tableColumn id="7" xr3:uid="{87AFCCE3-C53F-4FD4-9B19-4A793B02E2A5}" name="equality_type"/>
    <tableColumn id="5" xr3:uid="{4EEBDFCC-5B86-4A87-B0B8-A0BFABF86645}" name="building_sector_target_value"/>
    <tableColumn id="9" xr3:uid="{CF3C846E-6C9D-48AE-9EBC-D2F324BBF25E}" name="Weightings"/>
    <tableColumn id="8" xr3:uid="{D3C63476-BF1B-45DB-92AC-7FBA00A426A4}" name="Kommentar"/>
    <tableColumn id="10" xr3:uid="{809842F7-8B45-45D5-BFB5-0A0B82604A90}" name="Decision Variable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A21FA6-ABD9-42E2-99FF-3DAECFE107E9}" name="area_category_to_res_building_category" displayName="area_category_to_res_building_category" ref="A7:G12" totalsRowShown="0">
  <autoFilter ref="A7:G12" xr:uid="{2FA21FA6-ABD9-42E2-99FF-3DAECFE107E9}"/>
  <tableColumns count="7">
    <tableColumn id="1" xr3:uid="{CBE69764-345F-4B98-ACC1-2ABA092ED963}" name="Gebäudepool res"/>
    <tableColumn id="2" xr3:uid="{2C674E61-94E8-45DC-8158-076FD0ED3FD2}" name="EFHo" dataDxfId="11"/>
    <tableColumn id="3" xr3:uid="{767C4B38-A21B-4414-BA4A-4472BBF9132E}" name="EFHk" dataDxfId="10"/>
    <tableColumn id="4" xr3:uid="{7A44E8EA-3DFC-4E40-B202-7CA8AE7E369A}" name="MFHo" dataDxfId="9"/>
    <tableColumn id="5" xr3:uid="{A348A0C2-0795-48AF-9BC3-B13372BECFEA}" name="MFHk" dataDxfId="8"/>
    <tableColumn id="6" xr3:uid="{F9D113F0-4437-4262-82DE-7C546D3FF232}" name="GWBk" dataDxfId="7"/>
    <tableColumn id="7" xr3:uid="{C5439B1C-9160-4839-B6FB-CA64EF473222}" name="GWBg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2C3816-9FD7-43D7-9AF6-72BECDDBA4B8}" name="area_category_to_nonres_building_category" displayName="area_category_to_nonres_building_category" ref="A14:G19" totalsRowShown="0">
  <autoFilter ref="A14:G19" xr:uid="{CC2C3816-9FD7-43D7-9AF6-72BECDDBA4B8}"/>
  <tableColumns count="7">
    <tableColumn id="1" xr3:uid="{9688B786-21A8-42F6-996D-5D0B7FE84DB9}" name="Gebäudepool nonres"/>
    <tableColumn id="2" xr3:uid="{2A3B7AC9-71D1-49CC-A203-9D53ECE97A7C}" name="DLG1k" dataDxfId="5"/>
    <tableColumn id="3" xr3:uid="{019AFDFC-9163-4F8A-B7BF-06C9AC21A611}" name="DLG1g" dataDxfId="4"/>
    <tableColumn id="4" xr3:uid="{F71B9431-CC40-4FC1-99D0-2A800F9E3E3D}" name="DLG2k" dataDxfId="3"/>
    <tableColumn id="5" xr3:uid="{9342B54B-FC77-4069-B21B-F3CA4E3D2AC0}" name="DLG2g" dataDxfId="2"/>
    <tableColumn id="6" xr3:uid="{A199887D-CA77-4B92-87AE-C8BCACAFE9CA}" name="DLG3k" dataDxfId="1"/>
    <tableColumn id="7" xr3:uid="{603D2FAA-A016-4B81-9ECF-29E96E5A185B}" name="DLG3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unsereenergiewelt2040.at/assets/Uploads/Unsere_Energiewelt_2040_Annahmen-Methodik-Ergebnisse_28-01-2025-v3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CA7B-4D54-4BD7-83FF-11EABBB95258}">
  <dimension ref="A1:K27"/>
  <sheetViews>
    <sheetView workbookViewId="0">
      <selection activeCell="D28" sqref="D28"/>
    </sheetView>
  </sheetViews>
  <sheetFormatPr baseColWidth="10" defaultRowHeight="14.4" x14ac:dyDescent="0.3"/>
  <cols>
    <col min="1" max="1" width="29.21875" customWidth="1"/>
    <col min="2" max="2" width="26.21875" customWidth="1"/>
    <col min="3" max="3" width="23.77734375" customWidth="1"/>
    <col min="4" max="4" width="76.21875" bestFit="1" customWidth="1"/>
    <col min="5" max="5" width="15.21875" bestFit="1" customWidth="1"/>
    <col min="6" max="6" width="27.77734375" bestFit="1" customWidth="1"/>
    <col min="7" max="7" width="13" bestFit="1" customWidth="1"/>
    <col min="8" max="8" width="18.77734375" bestFit="1" customWidth="1"/>
    <col min="9" max="9" width="19" customWidth="1"/>
  </cols>
  <sheetData>
    <row r="1" spans="1:11" x14ac:dyDescent="0.3">
      <c r="A1" s="1" t="s">
        <v>0</v>
      </c>
      <c r="B1" s="1" t="s">
        <v>35</v>
      </c>
      <c r="C1" s="1" t="s">
        <v>1</v>
      </c>
      <c r="D1" s="2" t="s">
        <v>2</v>
      </c>
      <c r="E1" t="s">
        <v>3</v>
      </c>
      <c r="F1" s="3" t="s">
        <v>4</v>
      </c>
      <c r="G1" s="4" t="s">
        <v>5</v>
      </c>
      <c r="H1" t="s">
        <v>6</v>
      </c>
      <c r="I1" t="s">
        <v>7</v>
      </c>
    </row>
    <row r="2" spans="1:11" x14ac:dyDescent="0.3">
      <c r="A2" t="s">
        <v>8</v>
      </c>
      <c r="C2" t="s">
        <v>9</v>
      </c>
      <c r="D2" t="s">
        <v>10</v>
      </c>
      <c r="E2" s="5" t="s">
        <v>11</v>
      </c>
      <c r="F2">
        <v>88046552830</v>
      </c>
      <c r="H2" s="6" t="s">
        <v>12</v>
      </c>
      <c r="I2" t="s">
        <v>13</v>
      </c>
    </row>
    <row r="3" spans="1:11" x14ac:dyDescent="0.3">
      <c r="A3" t="s">
        <v>14</v>
      </c>
      <c r="C3" t="s">
        <v>15</v>
      </c>
      <c r="D3" t="s">
        <v>10</v>
      </c>
      <c r="E3" s="5" t="s">
        <v>11</v>
      </c>
      <c r="F3" s="7">
        <v>10854992261.361111</v>
      </c>
      <c r="I3" t="s">
        <v>13</v>
      </c>
      <c r="J3" s="8"/>
      <c r="K3" s="7"/>
    </row>
    <row r="4" spans="1:11" x14ac:dyDescent="0.3">
      <c r="A4" t="s">
        <v>16</v>
      </c>
      <c r="C4" t="s">
        <v>17</v>
      </c>
      <c r="D4" t="s">
        <v>10</v>
      </c>
      <c r="E4" s="5" t="s">
        <v>11</v>
      </c>
      <c r="F4" s="7">
        <v>17037388726.277777</v>
      </c>
      <c r="I4" t="s">
        <v>13</v>
      </c>
      <c r="J4" s="8"/>
      <c r="K4" s="7"/>
    </row>
    <row r="5" spans="1:11" x14ac:dyDescent="0.3">
      <c r="A5" t="s">
        <v>18</v>
      </c>
      <c r="C5" t="s">
        <v>19</v>
      </c>
      <c r="D5" t="s">
        <v>10</v>
      </c>
      <c r="E5" s="5" t="s">
        <v>11</v>
      </c>
      <c r="F5" s="7">
        <v>19720127178.555557</v>
      </c>
      <c r="I5" t="s">
        <v>13</v>
      </c>
      <c r="J5" s="8"/>
      <c r="K5" s="7"/>
    </row>
    <row r="6" spans="1:11" x14ac:dyDescent="0.3">
      <c r="A6" t="s">
        <v>20</v>
      </c>
      <c r="C6" t="s">
        <v>21</v>
      </c>
      <c r="D6" t="s">
        <v>10</v>
      </c>
      <c r="E6" s="5" t="s">
        <v>11</v>
      </c>
      <c r="F6" s="7">
        <v>9715263599.0555553</v>
      </c>
      <c r="I6" t="s">
        <v>13</v>
      </c>
      <c r="J6" s="8"/>
      <c r="K6" s="7"/>
    </row>
    <row r="7" spans="1:11" x14ac:dyDescent="0.3">
      <c r="A7" t="s">
        <v>22</v>
      </c>
      <c r="C7" t="s">
        <v>10</v>
      </c>
      <c r="D7" t="s">
        <v>23</v>
      </c>
      <c r="E7" s="5" t="s">
        <v>11</v>
      </c>
      <c r="F7" t="s">
        <v>24</v>
      </c>
      <c r="I7" t="s">
        <v>13</v>
      </c>
    </row>
    <row r="8" spans="1:11" x14ac:dyDescent="0.3">
      <c r="A8" t="s">
        <v>22</v>
      </c>
      <c r="C8" t="s">
        <v>10</v>
      </c>
      <c r="D8" t="s">
        <v>25</v>
      </c>
      <c r="E8" s="5" t="s">
        <v>11</v>
      </c>
      <c r="F8" t="s">
        <v>26</v>
      </c>
      <c r="I8" t="s">
        <v>13</v>
      </c>
    </row>
    <row r="9" spans="1:11" x14ac:dyDescent="0.3">
      <c r="A9" t="s">
        <v>22</v>
      </c>
      <c r="C9" t="s">
        <v>10</v>
      </c>
      <c r="D9" t="s">
        <v>27</v>
      </c>
      <c r="E9" s="5" t="s">
        <v>11</v>
      </c>
      <c r="F9" t="s">
        <v>28</v>
      </c>
      <c r="I9" t="s">
        <v>13</v>
      </c>
    </row>
    <row r="10" spans="1:11" x14ac:dyDescent="0.3">
      <c r="A10" t="s">
        <v>22</v>
      </c>
      <c r="C10" t="s">
        <v>10</v>
      </c>
      <c r="D10" t="s">
        <v>29</v>
      </c>
      <c r="E10" s="5" t="s">
        <v>11</v>
      </c>
      <c r="F10" t="s">
        <v>30</v>
      </c>
      <c r="I10" t="s">
        <v>13</v>
      </c>
    </row>
    <row r="11" spans="1:11" x14ac:dyDescent="0.3">
      <c r="A11" t="s">
        <v>22</v>
      </c>
      <c r="C11" t="s">
        <v>10</v>
      </c>
      <c r="D11" t="s">
        <v>31</v>
      </c>
      <c r="E11" s="5" t="s">
        <v>11</v>
      </c>
      <c r="F11" t="s">
        <v>32</v>
      </c>
      <c r="I11" t="s">
        <v>13</v>
      </c>
    </row>
    <row r="12" spans="1:11" x14ac:dyDescent="0.3">
      <c r="A12" t="s">
        <v>22</v>
      </c>
      <c r="C12" t="s">
        <v>10</v>
      </c>
      <c r="D12" t="s">
        <v>33</v>
      </c>
      <c r="E12" t="s">
        <v>11</v>
      </c>
      <c r="F12" s="7">
        <v>164637040</v>
      </c>
      <c r="I12" t="s">
        <v>13</v>
      </c>
    </row>
    <row r="13" spans="1:11" x14ac:dyDescent="0.3">
      <c r="A13" t="s">
        <v>22</v>
      </c>
      <c r="C13" t="s">
        <v>10</v>
      </c>
      <c r="D13" t="s">
        <v>34</v>
      </c>
      <c r="E13" t="s">
        <v>11</v>
      </c>
      <c r="F13" s="7">
        <v>125728052</v>
      </c>
      <c r="I13" t="s">
        <v>13</v>
      </c>
    </row>
    <row r="27" spans="11:11" x14ac:dyDescent="0.3">
      <c r="K27" s="9"/>
    </row>
  </sheetData>
  <hyperlinks>
    <hyperlink ref="H2" r:id="rId1" xr:uid="{49C37E26-FCDF-46C3-9F7C-9F2775533733}"/>
  </hyperlinks>
  <pageMargins left="0.7" right="0.7" top="0.78740157499999996" bottom="0.78740157499999996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E1EE-6620-4EC3-ADF7-7F2553351ADD}">
  <dimension ref="A1:G81"/>
  <sheetViews>
    <sheetView workbookViewId="0">
      <selection activeCell="I47" sqref="I47"/>
    </sheetView>
  </sheetViews>
  <sheetFormatPr baseColWidth="10" defaultRowHeight="14.4" x14ac:dyDescent="0.3"/>
  <cols>
    <col min="2" max="2" width="35.77734375" bestFit="1" customWidth="1"/>
    <col min="3" max="3" width="51.21875" bestFit="1" customWidth="1"/>
    <col min="4" max="4" width="14.6640625" bestFit="1" customWidth="1"/>
    <col min="5" max="5" width="13.5546875" bestFit="1" customWidth="1"/>
    <col min="6" max="6" width="22.6640625" customWidth="1"/>
  </cols>
  <sheetData>
    <row r="1" spans="1:7" x14ac:dyDescent="0.3">
      <c r="A1" s="10" t="s">
        <v>36</v>
      </c>
      <c r="B1" s="11" t="s">
        <v>37</v>
      </c>
      <c r="C1" s="11" t="s">
        <v>38</v>
      </c>
      <c r="D1" s="11" t="s">
        <v>60</v>
      </c>
      <c r="E1" s="12" t="s">
        <v>71</v>
      </c>
      <c r="F1" s="12" t="s">
        <v>72</v>
      </c>
      <c r="G1" s="12"/>
    </row>
    <row r="2" spans="1:7" x14ac:dyDescent="0.3">
      <c r="A2">
        <v>2021</v>
      </c>
      <c r="B2" t="s">
        <v>40</v>
      </c>
      <c r="C2" t="s">
        <v>41</v>
      </c>
      <c r="D2" t="s">
        <v>76</v>
      </c>
      <c r="F2">
        <v>179440026</v>
      </c>
    </row>
    <row r="3" spans="1:7" x14ac:dyDescent="0.3">
      <c r="A3">
        <v>2021</v>
      </c>
      <c r="B3" t="s">
        <v>40</v>
      </c>
      <c r="C3" t="s">
        <v>41</v>
      </c>
      <c r="D3" t="s">
        <v>77</v>
      </c>
      <c r="F3">
        <v>120106016</v>
      </c>
    </row>
    <row r="4" spans="1:7" x14ac:dyDescent="0.3">
      <c r="A4">
        <v>2021</v>
      </c>
      <c r="B4" t="s">
        <v>40</v>
      </c>
      <c r="C4" t="s">
        <v>41</v>
      </c>
      <c r="D4" t="s">
        <v>78</v>
      </c>
      <c r="F4">
        <v>29680973</v>
      </c>
    </row>
    <row r="5" spans="1:7" x14ac:dyDescent="0.3">
      <c r="A5">
        <v>2021</v>
      </c>
      <c r="B5" t="s">
        <v>40</v>
      </c>
      <c r="C5" t="s">
        <v>47</v>
      </c>
      <c r="D5" t="s">
        <v>61</v>
      </c>
      <c r="F5">
        <v>99641747</v>
      </c>
    </row>
    <row r="6" spans="1:7" x14ac:dyDescent="0.3">
      <c r="A6">
        <v>2021</v>
      </c>
      <c r="B6" t="s">
        <v>40</v>
      </c>
      <c r="C6" t="s">
        <v>47</v>
      </c>
      <c r="D6" t="s">
        <v>62</v>
      </c>
      <c r="F6">
        <v>227405833</v>
      </c>
    </row>
    <row r="7" spans="1:7" x14ac:dyDescent="0.3">
      <c r="A7">
        <v>2021</v>
      </c>
      <c r="B7" t="s">
        <v>40</v>
      </c>
      <c r="C7" t="s">
        <v>47</v>
      </c>
      <c r="D7" t="s">
        <v>63</v>
      </c>
      <c r="F7">
        <v>53330641</v>
      </c>
    </row>
    <row r="8" spans="1:7" x14ac:dyDescent="0.3">
      <c r="A8">
        <v>2021</v>
      </c>
      <c r="B8" t="s">
        <v>40</v>
      </c>
      <c r="C8" t="s">
        <v>47</v>
      </c>
      <c r="D8" t="s">
        <v>64</v>
      </c>
      <c r="F8">
        <v>64783868</v>
      </c>
    </row>
    <row r="9" spans="1:7" x14ac:dyDescent="0.3">
      <c r="A9">
        <v>2021</v>
      </c>
      <c r="B9" t="s">
        <v>40</v>
      </c>
      <c r="C9" t="s">
        <v>47</v>
      </c>
      <c r="D9" t="s">
        <v>75</v>
      </c>
      <c r="F9">
        <v>72758810</v>
      </c>
    </row>
    <row r="10" spans="1:7" x14ac:dyDescent="0.3">
      <c r="A10">
        <v>2021</v>
      </c>
      <c r="B10" t="s">
        <v>48</v>
      </c>
      <c r="C10" t="s">
        <v>41</v>
      </c>
      <c r="D10" t="s">
        <v>76</v>
      </c>
      <c r="F10">
        <v>5133093</v>
      </c>
    </row>
    <row r="11" spans="1:7" x14ac:dyDescent="0.3">
      <c r="A11">
        <v>2021</v>
      </c>
      <c r="B11" t="s">
        <v>48</v>
      </c>
      <c r="C11" t="s">
        <v>41</v>
      </c>
      <c r="D11" t="s">
        <v>77</v>
      </c>
      <c r="F11">
        <v>4299917</v>
      </c>
    </row>
    <row r="12" spans="1:7" x14ac:dyDescent="0.3">
      <c r="A12">
        <v>2021</v>
      </c>
      <c r="B12" t="s">
        <v>48</v>
      </c>
      <c r="C12" t="s">
        <v>41</v>
      </c>
      <c r="D12" t="s">
        <v>78</v>
      </c>
      <c r="F12">
        <v>933158</v>
      </c>
    </row>
    <row r="13" spans="1:7" x14ac:dyDescent="0.3">
      <c r="A13">
        <v>2021</v>
      </c>
      <c r="B13" t="s">
        <v>48</v>
      </c>
      <c r="C13" t="s">
        <v>47</v>
      </c>
      <c r="D13" t="s">
        <v>61</v>
      </c>
      <c r="F13">
        <v>2144723</v>
      </c>
    </row>
    <row r="14" spans="1:7" x14ac:dyDescent="0.3">
      <c r="A14">
        <v>2021</v>
      </c>
      <c r="B14" t="s">
        <v>48</v>
      </c>
      <c r="C14" t="s">
        <v>47</v>
      </c>
      <c r="D14" t="s">
        <v>62</v>
      </c>
      <c r="F14">
        <v>9913991</v>
      </c>
    </row>
    <row r="15" spans="1:7" x14ac:dyDescent="0.3">
      <c r="A15">
        <v>2021</v>
      </c>
      <c r="B15" t="s">
        <v>48</v>
      </c>
      <c r="C15" t="s">
        <v>47</v>
      </c>
      <c r="D15" t="s">
        <v>63</v>
      </c>
      <c r="F15">
        <v>1999759</v>
      </c>
    </row>
    <row r="16" spans="1:7" x14ac:dyDescent="0.3">
      <c r="A16">
        <v>2021</v>
      </c>
      <c r="B16" t="s">
        <v>48</v>
      </c>
      <c r="C16" t="s">
        <v>47</v>
      </c>
      <c r="D16" t="s">
        <v>64</v>
      </c>
      <c r="F16">
        <v>3052317</v>
      </c>
    </row>
    <row r="17" spans="1:6" x14ac:dyDescent="0.3">
      <c r="A17">
        <v>2021</v>
      </c>
      <c r="B17" t="s">
        <v>48</v>
      </c>
      <c r="C17" t="s">
        <v>47</v>
      </c>
      <c r="D17" t="s">
        <v>75</v>
      </c>
      <c r="F17">
        <v>2957282</v>
      </c>
    </row>
    <row r="18" spans="1:6" x14ac:dyDescent="0.3">
      <c r="A18">
        <v>2021</v>
      </c>
      <c r="B18" t="s">
        <v>49</v>
      </c>
      <c r="C18" t="s">
        <v>41</v>
      </c>
      <c r="D18" t="s">
        <v>76</v>
      </c>
      <c r="F18">
        <v>12477926</v>
      </c>
    </row>
    <row r="19" spans="1:6" x14ac:dyDescent="0.3">
      <c r="A19">
        <v>2021</v>
      </c>
      <c r="B19" t="s">
        <v>49</v>
      </c>
      <c r="C19" t="s">
        <v>41</v>
      </c>
      <c r="D19" t="s">
        <v>77</v>
      </c>
      <c r="F19">
        <v>7134836</v>
      </c>
    </row>
    <row r="20" spans="1:6" x14ac:dyDescent="0.3">
      <c r="A20">
        <v>2021</v>
      </c>
      <c r="B20" t="s">
        <v>49</v>
      </c>
      <c r="C20" t="s">
        <v>41</v>
      </c>
      <c r="D20" t="s">
        <v>78</v>
      </c>
      <c r="F20">
        <v>1170272</v>
      </c>
    </row>
    <row r="21" spans="1:6" x14ac:dyDescent="0.3">
      <c r="A21">
        <v>2021</v>
      </c>
      <c r="B21" t="s">
        <v>49</v>
      </c>
      <c r="C21" t="s">
        <v>47</v>
      </c>
      <c r="D21" t="s">
        <v>61</v>
      </c>
      <c r="F21">
        <v>4811246</v>
      </c>
    </row>
    <row r="22" spans="1:6" x14ac:dyDescent="0.3">
      <c r="A22">
        <v>2021</v>
      </c>
      <c r="B22" t="s">
        <v>49</v>
      </c>
      <c r="C22" t="s">
        <v>47</v>
      </c>
      <c r="D22" t="s">
        <v>62</v>
      </c>
      <c r="F22">
        <v>17283299</v>
      </c>
    </row>
    <row r="23" spans="1:6" x14ac:dyDescent="0.3">
      <c r="A23">
        <v>2021</v>
      </c>
      <c r="B23" t="s">
        <v>49</v>
      </c>
      <c r="C23" t="s">
        <v>47</v>
      </c>
      <c r="D23" t="s">
        <v>63</v>
      </c>
      <c r="F23">
        <v>3891112</v>
      </c>
    </row>
    <row r="24" spans="1:6" x14ac:dyDescent="0.3">
      <c r="A24">
        <v>2021</v>
      </c>
      <c r="B24" t="s">
        <v>49</v>
      </c>
      <c r="C24" t="s">
        <v>47</v>
      </c>
      <c r="D24" t="s">
        <v>64</v>
      </c>
      <c r="F24">
        <v>3982416</v>
      </c>
    </row>
    <row r="25" spans="1:6" x14ac:dyDescent="0.3">
      <c r="A25">
        <v>2021</v>
      </c>
      <c r="B25" t="s">
        <v>49</v>
      </c>
      <c r="C25" t="s">
        <v>47</v>
      </c>
      <c r="D25" t="s">
        <v>75</v>
      </c>
      <c r="F25">
        <v>3695138</v>
      </c>
    </row>
    <row r="26" spans="1:6" x14ac:dyDescent="0.3">
      <c r="A26">
        <v>2021</v>
      </c>
      <c r="B26" t="s">
        <v>50</v>
      </c>
      <c r="C26" t="s">
        <v>41</v>
      </c>
      <c r="D26" t="s">
        <v>76</v>
      </c>
      <c r="F26">
        <v>33752842</v>
      </c>
    </row>
    <row r="27" spans="1:6" x14ac:dyDescent="0.3">
      <c r="A27">
        <v>2021</v>
      </c>
      <c r="B27" t="s">
        <v>50</v>
      </c>
      <c r="C27" t="s">
        <v>41</v>
      </c>
      <c r="D27" t="s">
        <v>77</v>
      </c>
      <c r="F27">
        <v>23581545</v>
      </c>
    </row>
    <row r="28" spans="1:6" x14ac:dyDescent="0.3">
      <c r="A28">
        <v>2021</v>
      </c>
      <c r="B28" t="s">
        <v>50</v>
      </c>
      <c r="C28" t="s">
        <v>41</v>
      </c>
      <c r="D28" t="s">
        <v>78</v>
      </c>
      <c r="F28">
        <v>4576078</v>
      </c>
    </row>
    <row r="29" spans="1:6" x14ac:dyDescent="0.3">
      <c r="A29">
        <v>2021</v>
      </c>
      <c r="B29" t="s">
        <v>50</v>
      </c>
      <c r="C29" t="s">
        <v>47</v>
      </c>
      <c r="D29" t="s">
        <v>61</v>
      </c>
      <c r="F29">
        <v>21248123</v>
      </c>
    </row>
    <row r="30" spans="1:6" x14ac:dyDescent="0.3">
      <c r="A30">
        <v>2021</v>
      </c>
      <c r="B30" t="s">
        <v>50</v>
      </c>
      <c r="C30" t="s">
        <v>47</v>
      </c>
      <c r="D30" t="s">
        <v>62</v>
      </c>
      <c r="F30">
        <v>47010862</v>
      </c>
    </row>
    <row r="31" spans="1:6" x14ac:dyDescent="0.3">
      <c r="A31">
        <v>2021</v>
      </c>
      <c r="B31" t="s">
        <v>50</v>
      </c>
      <c r="C31" t="s">
        <v>47</v>
      </c>
      <c r="D31" t="s">
        <v>63</v>
      </c>
      <c r="F31">
        <v>12808027</v>
      </c>
    </row>
    <row r="32" spans="1:6" x14ac:dyDescent="0.3">
      <c r="A32">
        <v>2021</v>
      </c>
      <c r="B32" t="s">
        <v>50</v>
      </c>
      <c r="C32" t="s">
        <v>47</v>
      </c>
      <c r="D32" t="s">
        <v>64</v>
      </c>
      <c r="F32">
        <v>15190888</v>
      </c>
    </row>
    <row r="33" spans="1:6" x14ac:dyDescent="0.3">
      <c r="A33">
        <v>2021</v>
      </c>
      <c r="B33" t="s">
        <v>50</v>
      </c>
      <c r="C33" t="s">
        <v>47</v>
      </c>
      <c r="D33" t="s">
        <v>75</v>
      </c>
      <c r="F33">
        <v>13742073</v>
      </c>
    </row>
    <row r="34" spans="1:6" x14ac:dyDescent="0.3">
      <c r="A34">
        <v>2021</v>
      </c>
      <c r="B34" t="s">
        <v>51</v>
      </c>
      <c r="C34" t="s">
        <v>41</v>
      </c>
      <c r="D34" t="s">
        <v>76</v>
      </c>
      <c r="F34">
        <v>32269446</v>
      </c>
    </row>
    <row r="35" spans="1:6" x14ac:dyDescent="0.3">
      <c r="A35">
        <v>2021</v>
      </c>
      <c r="B35" t="s">
        <v>51</v>
      </c>
      <c r="C35" t="s">
        <v>41</v>
      </c>
      <c r="D35" t="s">
        <v>77</v>
      </c>
      <c r="F35">
        <v>23643420</v>
      </c>
    </row>
    <row r="36" spans="1:6" x14ac:dyDescent="0.3">
      <c r="A36">
        <v>2021</v>
      </c>
      <c r="B36" t="s">
        <v>51</v>
      </c>
      <c r="C36" t="s">
        <v>41</v>
      </c>
      <c r="D36" t="s">
        <v>78</v>
      </c>
      <c r="F36">
        <v>5904794</v>
      </c>
    </row>
    <row r="37" spans="1:6" x14ac:dyDescent="0.3">
      <c r="A37">
        <v>2021</v>
      </c>
      <c r="B37" t="s">
        <v>51</v>
      </c>
      <c r="C37" t="s">
        <v>47</v>
      </c>
      <c r="D37" t="s">
        <v>61</v>
      </c>
      <c r="F37">
        <v>15503050</v>
      </c>
    </row>
    <row r="38" spans="1:6" x14ac:dyDescent="0.3">
      <c r="A38">
        <v>2021</v>
      </c>
      <c r="B38" t="s">
        <v>51</v>
      </c>
      <c r="C38" t="s">
        <v>47</v>
      </c>
      <c r="D38" t="s">
        <v>62</v>
      </c>
      <c r="F38">
        <v>44122812</v>
      </c>
    </row>
    <row r="39" spans="1:6" x14ac:dyDescent="0.3">
      <c r="A39">
        <v>2021</v>
      </c>
      <c r="B39" t="s">
        <v>51</v>
      </c>
      <c r="C39" t="s">
        <v>47</v>
      </c>
      <c r="D39" t="s">
        <v>63</v>
      </c>
      <c r="F39">
        <v>10614834</v>
      </c>
    </row>
    <row r="40" spans="1:6" x14ac:dyDescent="0.3">
      <c r="A40">
        <v>2021</v>
      </c>
      <c r="B40" t="s">
        <v>51</v>
      </c>
      <c r="C40" t="s">
        <v>47</v>
      </c>
      <c r="D40" t="s">
        <v>64</v>
      </c>
      <c r="F40">
        <v>12036125</v>
      </c>
    </row>
    <row r="41" spans="1:6" x14ac:dyDescent="0.3">
      <c r="A41">
        <v>2021</v>
      </c>
      <c r="B41" t="s">
        <v>51</v>
      </c>
      <c r="C41" t="s">
        <v>47</v>
      </c>
      <c r="D41" t="s">
        <v>75</v>
      </c>
      <c r="F41">
        <v>13624903</v>
      </c>
    </row>
    <row r="42" spans="1:6" x14ac:dyDescent="0.3">
      <c r="A42">
        <v>2021</v>
      </c>
      <c r="B42" t="s">
        <v>52</v>
      </c>
      <c r="C42" t="s">
        <v>41</v>
      </c>
      <c r="D42" t="s">
        <v>76</v>
      </c>
      <c r="F42">
        <v>13346156</v>
      </c>
    </row>
    <row r="43" spans="1:6" x14ac:dyDescent="0.3">
      <c r="A43">
        <v>2021</v>
      </c>
      <c r="B43" t="s">
        <v>52</v>
      </c>
      <c r="C43" t="s">
        <v>41</v>
      </c>
      <c r="D43" t="s">
        <v>77</v>
      </c>
      <c r="F43">
        <v>9142512</v>
      </c>
    </row>
    <row r="44" spans="1:6" x14ac:dyDescent="0.3">
      <c r="A44">
        <v>2021</v>
      </c>
      <c r="B44" t="s">
        <v>52</v>
      </c>
      <c r="C44" t="s">
        <v>41</v>
      </c>
      <c r="D44" t="s">
        <v>78</v>
      </c>
      <c r="F44">
        <v>1910912</v>
      </c>
    </row>
    <row r="45" spans="1:6" x14ac:dyDescent="0.3">
      <c r="A45">
        <v>2021</v>
      </c>
      <c r="B45" t="s">
        <v>52</v>
      </c>
      <c r="C45" t="s">
        <v>47</v>
      </c>
      <c r="D45" t="s">
        <v>61</v>
      </c>
      <c r="F45">
        <v>3344399</v>
      </c>
    </row>
    <row r="46" spans="1:6" x14ac:dyDescent="0.3">
      <c r="A46">
        <v>2021</v>
      </c>
      <c r="B46" t="s">
        <v>52</v>
      </c>
      <c r="C46" t="s">
        <v>47</v>
      </c>
      <c r="D46" t="s">
        <v>62</v>
      </c>
      <c r="F46">
        <v>15617842</v>
      </c>
    </row>
    <row r="47" spans="1:6" x14ac:dyDescent="0.3">
      <c r="A47">
        <v>2021</v>
      </c>
      <c r="B47" t="s">
        <v>52</v>
      </c>
      <c r="C47" t="s">
        <v>47</v>
      </c>
      <c r="D47" t="s">
        <v>63</v>
      </c>
      <c r="F47">
        <v>3563809</v>
      </c>
    </row>
    <row r="48" spans="1:6" x14ac:dyDescent="0.3">
      <c r="A48">
        <v>2021</v>
      </c>
      <c r="B48" t="s">
        <v>52</v>
      </c>
      <c r="C48" t="s">
        <v>47</v>
      </c>
      <c r="D48" t="s">
        <v>64</v>
      </c>
      <c r="F48">
        <v>3902160</v>
      </c>
    </row>
    <row r="49" spans="1:6" x14ac:dyDescent="0.3">
      <c r="A49">
        <v>2021</v>
      </c>
      <c r="B49" t="s">
        <v>52</v>
      </c>
      <c r="C49" t="s">
        <v>47</v>
      </c>
      <c r="D49" t="s">
        <v>75</v>
      </c>
      <c r="F49">
        <v>4767446</v>
      </c>
    </row>
    <row r="50" spans="1:6" x14ac:dyDescent="0.3">
      <c r="A50">
        <v>2021</v>
      </c>
      <c r="B50" t="s">
        <v>53</v>
      </c>
      <c r="C50" t="s">
        <v>41</v>
      </c>
      <c r="D50" t="s">
        <v>76</v>
      </c>
      <c r="F50">
        <v>25193769</v>
      </c>
    </row>
    <row r="51" spans="1:6" x14ac:dyDescent="0.3">
      <c r="A51">
        <v>2021</v>
      </c>
      <c r="B51" t="s">
        <v>53</v>
      </c>
      <c r="C51" t="s">
        <v>41</v>
      </c>
      <c r="D51" t="s">
        <v>77</v>
      </c>
      <c r="F51">
        <v>17965140</v>
      </c>
    </row>
    <row r="52" spans="1:6" x14ac:dyDescent="0.3">
      <c r="A52">
        <v>2021</v>
      </c>
      <c r="B52" t="s">
        <v>53</v>
      </c>
      <c r="C52" t="s">
        <v>41</v>
      </c>
      <c r="D52" t="s">
        <v>78</v>
      </c>
      <c r="F52">
        <v>4150788</v>
      </c>
    </row>
    <row r="53" spans="1:6" x14ac:dyDescent="0.3">
      <c r="A53">
        <v>2021</v>
      </c>
      <c r="B53" t="s">
        <v>53</v>
      </c>
      <c r="C53" t="s">
        <v>47</v>
      </c>
      <c r="D53" t="s">
        <v>61</v>
      </c>
      <c r="F53">
        <v>13385791</v>
      </c>
    </row>
    <row r="54" spans="1:6" x14ac:dyDescent="0.3">
      <c r="A54">
        <v>2021</v>
      </c>
      <c r="B54" t="s">
        <v>53</v>
      </c>
      <c r="C54" t="s">
        <v>47</v>
      </c>
      <c r="D54" t="s">
        <v>62</v>
      </c>
      <c r="F54">
        <v>33550720</v>
      </c>
    </row>
    <row r="55" spans="1:6" x14ac:dyDescent="0.3">
      <c r="A55">
        <v>2021</v>
      </c>
      <c r="B55" t="s">
        <v>53</v>
      </c>
      <c r="C55" t="s">
        <v>47</v>
      </c>
      <c r="D55" t="s">
        <v>63</v>
      </c>
      <c r="F55">
        <v>7489371</v>
      </c>
    </row>
    <row r="56" spans="1:6" x14ac:dyDescent="0.3">
      <c r="A56">
        <v>2021</v>
      </c>
      <c r="B56" t="s">
        <v>53</v>
      </c>
      <c r="C56" t="s">
        <v>47</v>
      </c>
      <c r="D56" t="s">
        <v>64</v>
      </c>
      <c r="F56">
        <v>8836366</v>
      </c>
    </row>
    <row r="57" spans="1:6" x14ac:dyDescent="0.3">
      <c r="A57">
        <v>2021</v>
      </c>
      <c r="B57" t="s">
        <v>53</v>
      </c>
      <c r="C57" t="s">
        <v>47</v>
      </c>
      <c r="D57" t="s">
        <v>75</v>
      </c>
      <c r="F57">
        <v>9458643</v>
      </c>
    </row>
    <row r="58" spans="1:6" x14ac:dyDescent="0.3">
      <c r="A58">
        <v>2021</v>
      </c>
      <c r="B58" t="s">
        <v>54</v>
      </c>
      <c r="C58" t="s">
        <v>41</v>
      </c>
      <c r="D58" t="s">
        <v>76</v>
      </c>
      <c r="F58">
        <v>17776425</v>
      </c>
    </row>
    <row r="59" spans="1:6" x14ac:dyDescent="0.3">
      <c r="A59">
        <v>2021</v>
      </c>
      <c r="B59" t="s">
        <v>54</v>
      </c>
      <c r="C59" t="s">
        <v>41</v>
      </c>
      <c r="D59" t="s">
        <v>77</v>
      </c>
      <c r="F59">
        <v>13324634</v>
      </c>
    </row>
    <row r="60" spans="1:6" x14ac:dyDescent="0.3">
      <c r="A60">
        <v>2021</v>
      </c>
      <c r="B60" t="s">
        <v>54</v>
      </c>
      <c r="C60" t="s">
        <v>41</v>
      </c>
      <c r="D60" t="s">
        <v>78</v>
      </c>
      <c r="F60">
        <v>3031029</v>
      </c>
    </row>
    <row r="61" spans="1:6" x14ac:dyDescent="0.3">
      <c r="A61">
        <v>2021</v>
      </c>
      <c r="B61" t="s">
        <v>54</v>
      </c>
      <c r="C61" t="s">
        <v>47</v>
      </c>
      <c r="D61" t="s">
        <v>61</v>
      </c>
      <c r="F61">
        <v>6557038</v>
      </c>
    </row>
    <row r="62" spans="1:6" x14ac:dyDescent="0.3">
      <c r="A62">
        <v>2021</v>
      </c>
      <c r="B62" t="s">
        <v>54</v>
      </c>
      <c r="C62" t="s">
        <v>47</v>
      </c>
      <c r="D62" t="s">
        <v>62</v>
      </c>
      <c r="F62">
        <v>19767642</v>
      </c>
    </row>
    <row r="63" spans="1:6" x14ac:dyDescent="0.3">
      <c r="A63">
        <v>2021</v>
      </c>
      <c r="B63" t="s">
        <v>54</v>
      </c>
      <c r="C63" t="s">
        <v>47</v>
      </c>
      <c r="D63" t="s">
        <v>63</v>
      </c>
      <c r="F63">
        <v>5112928</v>
      </c>
    </row>
    <row r="64" spans="1:6" x14ac:dyDescent="0.3">
      <c r="A64">
        <v>2021</v>
      </c>
      <c r="B64" t="s">
        <v>54</v>
      </c>
      <c r="C64" t="s">
        <v>47</v>
      </c>
      <c r="D64" t="s">
        <v>64</v>
      </c>
      <c r="F64">
        <v>6978273</v>
      </c>
    </row>
    <row r="65" spans="1:6" x14ac:dyDescent="0.3">
      <c r="A65">
        <v>2021</v>
      </c>
      <c r="B65" t="s">
        <v>54</v>
      </c>
      <c r="C65" t="s">
        <v>47</v>
      </c>
      <c r="D65" t="s">
        <v>75</v>
      </c>
      <c r="F65">
        <v>7287438</v>
      </c>
    </row>
    <row r="66" spans="1:6" x14ac:dyDescent="0.3">
      <c r="A66">
        <v>2021</v>
      </c>
      <c r="B66" t="s">
        <v>55</v>
      </c>
      <c r="C66" t="s">
        <v>41</v>
      </c>
      <c r="D66" t="s">
        <v>76</v>
      </c>
      <c r="F66">
        <v>8113468</v>
      </c>
    </row>
    <row r="67" spans="1:6" x14ac:dyDescent="0.3">
      <c r="A67">
        <v>2021</v>
      </c>
      <c r="B67" t="s">
        <v>55</v>
      </c>
      <c r="C67" t="s">
        <v>41</v>
      </c>
      <c r="D67" t="s">
        <v>77</v>
      </c>
      <c r="F67">
        <v>5306264</v>
      </c>
    </row>
    <row r="68" spans="1:6" x14ac:dyDescent="0.3">
      <c r="A68">
        <v>2021</v>
      </c>
      <c r="B68" t="s">
        <v>55</v>
      </c>
      <c r="C68" t="s">
        <v>41</v>
      </c>
      <c r="D68" t="s">
        <v>78</v>
      </c>
      <c r="F68">
        <v>1273219</v>
      </c>
    </row>
    <row r="69" spans="1:6" x14ac:dyDescent="0.3">
      <c r="A69">
        <v>2021</v>
      </c>
      <c r="B69" t="s">
        <v>55</v>
      </c>
      <c r="C69" t="s">
        <v>47</v>
      </c>
      <c r="D69" t="s">
        <v>61</v>
      </c>
      <c r="F69">
        <v>3256187</v>
      </c>
    </row>
    <row r="70" spans="1:6" x14ac:dyDescent="0.3">
      <c r="A70">
        <v>2021</v>
      </c>
      <c r="B70" t="s">
        <v>55</v>
      </c>
      <c r="C70" t="s">
        <v>47</v>
      </c>
      <c r="D70" t="s">
        <v>62</v>
      </c>
      <c r="F70">
        <v>9419280</v>
      </c>
    </row>
    <row r="71" spans="1:6" x14ac:dyDescent="0.3">
      <c r="A71">
        <v>2021</v>
      </c>
      <c r="B71" t="s">
        <v>55</v>
      </c>
      <c r="C71" t="s">
        <v>47</v>
      </c>
      <c r="D71" t="s">
        <v>63</v>
      </c>
      <c r="F71">
        <v>2662521</v>
      </c>
    </row>
    <row r="72" spans="1:6" x14ac:dyDescent="0.3">
      <c r="A72">
        <v>2021</v>
      </c>
      <c r="B72" t="s">
        <v>55</v>
      </c>
      <c r="C72" t="s">
        <v>47</v>
      </c>
      <c r="D72" t="s">
        <v>64</v>
      </c>
      <c r="F72">
        <v>3387565</v>
      </c>
    </row>
    <row r="73" spans="1:6" x14ac:dyDescent="0.3">
      <c r="A73">
        <v>2021</v>
      </c>
      <c r="B73" t="s">
        <v>55</v>
      </c>
      <c r="C73" t="s">
        <v>47</v>
      </c>
      <c r="D73" t="s">
        <v>75</v>
      </c>
      <c r="F73">
        <v>3928180</v>
      </c>
    </row>
    <row r="74" spans="1:6" x14ac:dyDescent="0.3">
      <c r="A74">
        <v>2021</v>
      </c>
      <c r="B74" t="s">
        <v>56</v>
      </c>
      <c r="C74" t="s">
        <v>41</v>
      </c>
      <c r="D74" t="s">
        <v>76</v>
      </c>
      <c r="F74">
        <v>31376901</v>
      </c>
    </row>
    <row r="75" spans="1:6" x14ac:dyDescent="0.3">
      <c r="A75">
        <v>2021</v>
      </c>
      <c r="B75" t="s">
        <v>56</v>
      </c>
      <c r="C75" t="s">
        <v>41</v>
      </c>
      <c r="D75" t="s">
        <v>77</v>
      </c>
      <c r="F75">
        <v>15707748</v>
      </c>
    </row>
    <row r="76" spans="1:6" x14ac:dyDescent="0.3">
      <c r="A76">
        <v>2021</v>
      </c>
      <c r="B76" t="s">
        <v>56</v>
      </c>
      <c r="C76" t="s">
        <v>41</v>
      </c>
      <c r="D76" t="s">
        <v>78</v>
      </c>
      <c r="F76">
        <v>6730723</v>
      </c>
    </row>
    <row r="77" spans="1:6" x14ac:dyDescent="0.3">
      <c r="A77">
        <v>2021</v>
      </c>
      <c r="B77" t="s">
        <v>56</v>
      </c>
      <c r="C77" t="s">
        <v>47</v>
      </c>
      <c r="D77" t="s">
        <v>61</v>
      </c>
      <c r="F77">
        <v>29391190</v>
      </c>
    </row>
    <row r="78" spans="1:6" x14ac:dyDescent="0.3">
      <c r="A78">
        <v>2021</v>
      </c>
      <c r="B78" t="s">
        <v>56</v>
      </c>
      <c r="C78" t="s">
        <v>47</v>
      </c>
      <c r="D78" t="s">
        <v>62</v>
      </c>
      <c r="F78">
        <v>30719385</v>
      </c>
    </row>
    <row r="79" spans="1:6" x14ac:dyDescent="0.3">
      <c r="A79">
        <v>2021</v>
      </c>
      <c r="B79" t="s">
        <v>56</v>
      </c>
      <c r="C79" t="s">
        <v>47</v>
      </c>
      <c r="D79" t="s">
        <v>63</v>
      </c>
      <c r="F79">
        <v>5188280</v>
      </c>
    </row>
    <row r="80" spans="1:6" x14ac:dyDescent="0.3">
      <c r="A80">
        <v>2021</v>
      </c>
      <c r="B80" t="s">
        <v>56</v>
      </c>
      <c r="C80" t="s">
        <v>47</v>
      </c>
      <c r="D80" t="s">
        <v>64</v>
      </c>
      <c r="F80">
        <v>7417758</v>
      </c>
    </row>
    <row r="81" spans="1:6" x14ac:dyDescent="0.3">
      <c r="A81">
        <v>2021</v>
      </c>
      <c r="B81" t="s">
        <v>56</v>
      </c>
      <c r="C81" t="s">
        <v>47</v>
      </c>
      <c r="D81" t="s">
        <v>75</v>
      </c>
      <c r="F81">
        <v>13297707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7C16-0C2C-4DE3-BA55-525B5CFB1389}">
  <dimension ref="A1:M901"/>
  <sheetViews>
    <sheetView tabSelected="1" zoomScale="85" zoomScaleNormal="85" workbookViewId="0">
      <selection activeCell="T20" sqref="T20"/>
    </sheetView>
  </sheetViews>
  <sheetFormatPr baseColWidth="10" defaultRowHeight="14.4" x14ac:dyDescent="0.3"/>
  <cols>
    <col min="2" max="2" width="37" customWidth="1"/>
    <col min="3" max="4" width="26.77734375" customWidth="1"/>
    <col min="5" max="5" width="14.6640625" bestFit="1" customWidth="1"/>
    <col min="6" max="7" width="37" customWidth="1"/>
    <col min="11" max="11" width="16.21875" bestFit="1" customWidth="1"/>
  </cols>
  <sheetData>
    <row r="1" spans="1:13" x14ac:dyDescent="0.3">
      <c r="A1" s="10" t="s">
        <v>36</v>
      </c>
      <c r="B1" s="11" t="s">
        <v>37</v>
      </c>
      <c r="C1" s="11" t="s">
        <v>38</v>
      </c>
      <c r="D1" s="26" t="s">
        <v>39</v>
      </c>
      <c r="E1" s="11" t="s">
        <v>60</v>
      </c>
      <c r="F1" s="12" t="s">
        <v>71</v>
      </c>
      <c r="G1" s="12" t="s">
        <v>72</v>
      </c>
    </row>
    <row r="2" spans="1:13" x14ac:dyDescent="0.3">
      <c r="A2" s="13">
        <v>2021</v>
      </c>
      <c r="B2" s="14" t="s">
        <v>40</v>
      </c>
      <c r="C2" s="14" t="s">
        <v>41</v>
      </c>
      <c r="D2" t="s">
        <v>42</v>
      </c>
      <c r="E2" s="14" t="s">
        <v>76</v>
      </c>
      <c r="F2" s="14"/>
      <c r="G2" s="15">
        <v>983229</v>
      </c>
      <c r="J2" t="s">
        <v>40</v>
      </c>
      <c r="K2" t="s">
        <v>41</v>
      </c>
      <c r="L2" t="s">
        <v>76</v>
      </c>
      <c r="M2" cm="1">
        <f t="array" ref="M2">SUMPRODUCT(IF($B$2:$B$901&amp;$C$2:$C$901&amp;$E$2:$E$901=J2&amp;K2&amp;L2,$G$2:$G$901*1,))</f>
        <v>179440026</v>
      </c>
    </row>
    <row r="3" spans="1:13" x14ac:dyDescent="0.3">
      <c r="A3" s="16">
        <v>2021</v>
      </c>
      <c r="B3" s="17" t="s">
        <v>40</v>
      </c>
      <c r="C3" s="17" t="s">
        <v>41</v>
      </c>
      <c r="D3" t="s">
        <v>42</v>
      </c>
      <c r="E3" s="17" t="s">
        <v>76</v>
      </c>
      <c r="F3" s="14"/>
      <c r="G3" s="18">
        <v>391933</v>
      </c>
      <c r="J3" t="s">
        <v>40</v>
      </c>
      <c r="K3" t="s">
        <v>41</v>
      </c>
      <c r="L3" t="s">
        <v>77</v>
      </c>
      <c r="M3" cm="1">
        <f t="array" ref="M3">SUMPRODUCT(IF($B$2:$B$901&amp;$C$2:$C$901&amp;$E$2:$E$901=J3&amp;K3&amp;L3,$G$2:$G$901*1,))</f>
        <v>120106016</v>
      </c>
    </row>
    <row r="4" spans="1:13" x14ac:dyDescent="0.3">
      <c r="A4" s="13">
        <v>2021</v>
      </c>
      <c r="B4" s="14" t="s">
        <v>40</v>
      </c>
      <c r="C4" s="14" t="s">
        <v>41</v>
      </c>
      <c r="D4" t="s">
        <v>42</v>
      </c>
      <c r="E4" s="14" t="s">
        <v>76</v>
      </c>
      <c r="F4" s="14"/>
      <c r="G4" s="15">
        <v>594234</v>
      </c>
      <c r="J4" t="s">
        <v>40</v>
      </c>
      <c r="K4" t="s">
        <v>41</v>
      </c>
      <c r="L4" t="s">
        <v>78</v>
      </c>
      <c r="M4" cm="1">
        <f t="array" ref="M4">SUMPRODUCT(IF($B$2:$B$901&amp;$C$2:$C$901&amp;$E$2:$E$901=J4&amp;K4&amp;L4,$G$2:$G$901*1,))</f>
        <v>29680973</v>
      </c>
    </row>
    <row r="5" spans="1:13" x14ac:dyDescent="0.3">
      <c r="A5" s="16">
        <v>2021</v>
      </c>
      <c r="B5" s="17" t="s">
        <v>40</v>
      </c>
      <c r="C5" s="17" t="s">
        <v>41</v>
      </c>
      <c r="D5" t="s">
        <v>42</v>
      </c>
      <c r="E5" s="17" t="s">
        <v>76</v>
      </c>
      <c r="F5" s="14"/>
      <c r="G5" s="18">
        <v>629490</v>
      </c>
      <c r="J5" t="s">
        <v>40</v>
      </c>
      <c r="K5" t="s">
        <v>47</v>
      </c>
      <c r="L5" t="s">
        <v>61</v>
      </c>
      <c r="M5" cm="1">
        <f t="array" ref="M5">SUMPRODUCT(IF($B$2:$B$901&amp;$C$2:$C$901&amp;$E$2:$E$901=J5&amp;K5&amp;L5,$G$2:$G$901*1,))</f>
        <v>99641747</v>
      </c>
    </row>
    <row r="6" spans="1:13" x14ac:dyDescent="0.3">
      <c r="A6" s="13">
        <v>2021</v>
      </c>
      <c r="B6" s="14" t="s">
        <v>40</v>
      </c>
      <c r="C6" s="14" t="s">
        <v>41</v>
      </c>
      <c r="D6" t="s">
        <v>42</v>
      </c>
      <c r="E6" s="14" t="s">
        <v>76</v>
      </c>
      <c r="F6" s="14"/>
      <c r="G6" s="15">
        <v>634503</v>
      </c>
      <c r="J6" t="s">
        <v>40</v>
      </c>
      <c r="K6" t="s">
        <v>47</v>
      </c>
      <c r="L6" t="s">
        <v>62</v>
      </c>
      <c r="M6" cm="1">
        <f t="array" ref="M6">SUMPRODUCT(IF($B$2:$B$901&amp;$C$2:$C$901&amp;$E$2:$E$901=J6&amp;K6&amp;L6,$G$2:$G$901*1,))</f>
        <v>227405833</v>
      </c>
    </row>
    <row r="7" spans="1:13" x14ac:dyDescent="0.3">
      <c r="A7" s="16">
        <v>2021</v>
      </c>
      <c r="B7" s="17" t="s">
        <v>40</v>
      </c>
      <c r="C7" s="17" t="s">
        <v>41</v>
      </c>
      <c r="D7" t="s">
        <v>42</v>
      </c>
      <c r="E7" s="17" t="s">
        <v>77</v>
      </c>
      <c r="F7" s="14"/>
      <c r="G7" s="18">
        <v>653133</v>
      </c>
      <c r="J7" t="s">
        <v>40</v>
      </c>
      <c r="K7" t="s">
        <v>47</v>
      </c>
      <c r="L7" t="s">
        <v>63</v>
      </c>
      <c r="M7" cm="1">
        <f t="array" ref="M7">SUMPRODUCT(IF($B$2:$B$901&amp;$C$2:$C$901&amp;$E$2:$E$901=J7&amp;K7&amp;L7,$G$2:$G$901*1,))</f>
        <v>53330641</v>
      </c>
    </row>
    <row r="8" spans="1:13" x14ac:dyDescent="0.3">
      <c r="A8" s="13">
        <v>2021</v>
      </c>
      <c r="B8" s="14" t="s">
        <v>40</v>
      </c>
      <c r="C8" s="14" t="s">
        <v>41</v>
      </c>
      <c r="D8" t="s">
        <v>42</v>
      </c>
      <c r="E8" s="14" t="s">
        <v>77</v>
      </c>
      <c r="F8" s="14"/>
      <c r="G8" s="15">
        <v>573485</v>
      </c>
      <c r="J8" t="s">
        <v>40</v>
      </c>
      <c r="K8" t="s">
        <v>47</v>
      </c>
      <c r="L8" t="s">
        <v>64</v>
      </c>
      <c r="M8" cm="1">
        <f t="array" ref="M8">SUMPRODUCT(IF($B$2:$B$901&amp;$C$2:$C$901&amp;$E$2:$E$901=J8&amp;K8&amp;L8,$G$2:$G$901*1,))</f>
        <v>64783868</v>
      </c>
    </row>
    <row r="9" spans="1:13" x14ac:dyDescent="0.3">
      <c r="A9" s="16">
        <v>2021</v>
      </c>
      <c r="B9" s="17" t="s">
        <v>40</v>
      </c>
      <c r="C9" s="17" t="s">
        <v>41</v>
      </c>
      <c r="D9" t="s">
        <v>42</v>
      </c>
      <c r="E9" s="17" t="s">
        <v>77</v>
      </c>
      <c r="F9" s="14"/>
      <c r="G9" s="18">
        <v>603461</v>
      </c>
      <c r="J9" t="s">
        <v>40</v>
      </c>
      <c r="K9" t="s">
        <v>47</v>
      </c>
      <c r="L9" t="s">
        <v>75</v>
      </c>
      <c r="M9" cm="1">
        <f t="array" ref="M9">SUMPRODUCT(IF($B$2:$B$901&amp;$C$2:$C$901&amp;$E$2:$E$901=J9&amp;K9&amp;L9,$G$2:$G$901*1,))</f>
        <v>72758810</v>
      </c>
    </row>
    <row r="10" spans="1:13" x14ac:dyDescent="0.3">
      <c r="A10" s="13">
        <v>2021</v>
      </c>
      <c r="B10" s="14" t="s">
        <v>40</v>
      </c>
      <c r="C10" s="14" t="s">
        <v>41</v>
      </c>
      <c r="D10" t="s">
        <v>42</v>
      </c>
      <c r="E10" s="14" t="s">
        <v>78</v>
      </c>
      <c r="F10" s="14"/>
      <c r="G10" s="15">
        <v>610016</v>
      </c>
      <c r="J10" t="s">
        <v>48</v>
      </c>
      <c r="K10" t="s">
        <v>41</v>
      </c>
      <c r="L10" t="s">
        <v>76</v>
      </c>
      <c r="M10" cm="1">
        <f t="array" ref="M10">SUMPRODUCT(IF($B$2:$B$901&amp;$C$2:$C$901&amp;$E$2:$E$901=J10&amp;K10&amp;L10,$G$2:$G$901*1,))</f>
        <v>5133093</v>
      </c>
    </row>
    <row r="11" spans="1:13" x14ac:dyDescent="0.3">
      <c r="A11" s="16">
        <v>2021</v>
      </c>
      <c r="B11" s="17" t="s">
        <v>40</v>
      </c>
      <c r="C11" s="17" t="s">
        <v>41</v>
      </c>
      <c r="D11" t="s">
        <v>43</v>
      </c>
      <c r="E11" s="14" t="s">
        <v>76</v>
      </c>
      <c r="F11" s="14"/>
      <c r="G11" s="18">
        <v>1223343</v>
      </c>
      <c r="J11" t="s">
        <v>48</v>
      </c>
      <c r="K11" t="s">
        <v>41</v>
      </c>
      <c r="L11" t="s">
        <v>77</v>
      </c>
      <c r="M11" cm="1">
        <f t="array" ref="M11">SUMPRODUCT(IF($B$2:$B$901&amp;$C$2:$C$901&amp;$E$2:$E$901=J11&amp;K11&amp;L11,$G$2:$G$901*1,))</f>
        <v>4299917</v>
      </c>
    </row>
    <row r="12" spans="1:13" x14ac:dyDescent="0.3">
      <c r="A12" s="13">
        <v>2021</v>
      </c>
      <c r="B12" s="14" t="s">
        <v>40</v>
      </c>
      <c r="C12" s="14" t="s">
        <v>41</v>
      </c>
      <c r="D12" t="s">
        <v>43</v>
      </c>
      <c r="E12" s="17" t="s">
        <v>76</v>
      </c>
      <c r="F12" s="14"/>
      <c r="G12" s="15">
        <v>488932</v>
      </c>
      <c r="J12" t="s">
        <v>48</v>
      </c>
      <c r="K12" t="s">
        <v>41</v>
      </c>
      <c r="L12" t="s">
        <v>78</v>
      </c>
      <c r="M12" cm="1">
        <f t="array" ref="M12">SUMPRODUCT(IF($B$2:$B$901&amp;$C$2:$C$901&amp;$E$2:$E$901=J12&amp;K12&amp;L12,$G$2:$G$901*1,))</f>
        <v>933158</v>
      </c>
    </row>
    <row r="13" spans="1:13" x14ac:dyDescent="0.3">
      <c r="A13" s="16">
        <v>2021</v>
      </c>
      <c r="B13" s="17" t="s">
        <v>40</v>
      </c>
      <c r="C13" s="17" t="s">
        <v>41</v>
      </c>
      <c r="D13" t="s">
        <v>43</v>
      </c>
      <c r="E13" s="14" t="s">
        <v>76</v>
      </c>
      <c r="F13" s="14"/>
      <c r="G13" s="18">
        <v>742492</v>
      </c>
      <c r="J13" t="s">
        <v>48</v>
      </c>
      <c r="K13" t="s">
        <v>47</v>
      </c>
      <c r="L13" t="s">
        <v>61</v>
      </c>
      <c r="M13" cm="1">
        <f t="array" ref="M13">SUMPRODUCT(IF($B$2:$B$901&amp;$C$2:$C$901&amp;$E$2:$E$901=J13&amp;K13&amp;L13,$G$2:$G$901*1,))</f>
        <v>2144723</v>
      </c>
    </row>
    <row r="14" spans="1:13" x14ac:dyDescent="0.3">
      <c r="A14" s="13">
        <v>2021</v>
      </c>
      <c r="B14" s="14" t="s">
        <v>40</v>
      </c>
      <c r="C14" s="14" t="s">
        <v>41</v>
      </c>
      <c r="D14" t="s">
        <v>43</v>
      </c>
      <c r="E14" s="17" t="s">
        <v>76</v>
      </c>
      <c r="F14" s="14"/>
      <c r="G14" s="15">
        <v>817702</v>
      </c>
      <c r="J14" t="s">
        <v>48</v>
      </c>
      <c r="K14" t="s">
        <v>47</v>
      </c>
      <c r="L14" t="s">
        <v>62</v>
      </c>
      <c r="M14" cm="1">
        <f t="array" ref="M14">SUMPRODUCT(IF($B$2:$B$901&amp;$C$2:$C$901&amp;$E$2:$E$901=J14&amp;K14&amp;L14,$G$2:$G$901*1,))</f>
        <v>9913991</v>
      </c>
    </row>
    <row r="15" spans="1:13" x14ac:dyDescent="0.3">
      <c r="A15" s="16">
        <v>2021</v>
      </c>
      <c r="B15" s="17" t="s">
        <v>40</v>
      </c>
      <c r="C15" s="17" t="s">
        <v>41</v>
      </c>
      <c r="D15" t="s">
        <v>43</v>
      </c>
      <c r="E15" s="14" t="s">
        <v>76</v>
      </c>
      <c r="F15" s="14"/>
      <c r="G15" s="18">
        <v>844220</v>
      </c>
      <c r="J15" t="s">
        <v>48</v>
      </c>
      <c r="K15" t="s">
        <v>47</v>
      </c>
      <c r="L15" t="s">
        <v>63</v>
      </c>
      <c r="M15" cm="1">
        <f t="array" ref="M15">SUMPRODUCT(IF($B$2:$B$901&amp;$C$2:$C$901&amp;$E$2:$E$901=J15&amp;K15&amp;L15,$G$2:$G$901*1,))</f>
        <v>1999759</v>
      </c>
    </row>
    <row r="16" spans="1:13" x14ac:dyDescent="0.3">
      <c r="A16" s="13">
        <v>2021</v>
      </c>
      <c r="B16" s="14" t="s">
        <v>40</v>
      </c>
      <c r="C16" s="14" t="s">
        <v>41</v>
      </c>
      <c r="D16" t="s">
        <v>43</v>
      </c>
      <c r="E16" s="17" t="s">
        <v>77</v>
      </c>
      <c r="F16" s="14"/>
      <c r="G16" s="15">
        <v>792641</v>
      </c>
      <c r="J16" t="s">
        <v>48</v>
      </c>
      <c r="K16" t="s">
        <v>47</v>
      </c>
      <c r="L16" t="s">
        <v>64</v>
      </c>
      <c r="M16" cm="1">
        <f t="array" ref="M16">SUMPRODUCT(IF($B$2:$B$901&amp;$C$2:$C$901&amp;$E$2:$E$901=J16&amp;K16&amp;L16,$G$2:$G$901*1,))</f>
        <v>3052317</v>
      </c>
    </row>
    <row r="17" spans="1:13" x14ac:dyDescent="0.3">
      <c r="A17" s="16">
        <v>2021</v>
      </c>
      <c r="B17" s="17" t="s">
        <v>40</v>
      </c>
      <c r="C17" s="17" t="s">
        <v>41</v>
      </c>
      <c r="D17" t="s">
        <v>43</v>
      </c>
      <c r="E17" s="14" t="s">
        <v>77</v>
      </c>
      <c r="F17" s="14"/>
      <c r="G17" s="18">
        <v>671625</v>
      </c>
      <c r="J17" t="s">
        <v>48</v>
      </c>
      <c r="K17" t="s">
        <v>47</v>
      </c>
      <c r="L17" t="s">
        <v>75</v>
      </c>
      <c r="M17" cm="1">
        <f t="array" ref="M17">SUMPRODUCT(IF($B$2:$B$901&amp;$C$2:$C$901&amp;$E$2:$E$901=J17&amp;K17&amp;L17,$G$2:$G$901*1,))</f>
        <v>2957282</v>
      </c>
    </row>
    <row r="18" spans="1:13" x14ac:dyDescent="0.3">
      <c r="A18" s="13">
        <v>2021</v>
      </c>
      <c r="B18" s="14" t="s">
        <v>40</v>
      </c>
      <c r="C18" s="14" t="s">
        <v>41</v>
      </c>
      <c r="D18" t="s">
        <v>43</v>
      </c>
      <c r="E18" s="17" t="s">
        <v>77</v>
      </c>
      <c r="F18" s="14"/>
      <c r="G18" s="15">
        <v>693748</v>
      </c>
      <c r="J18" t="s">
        <v>49</v>
      </c>
      <c r="K18" t="s">
        <v>41</v>
      </c>
      <c r="L18" t="s">
        <v>76</v>
      </c>
      <c r="M18" cm="1">
        <f t="array" ref="M18">SUMPRODUCT(IF($B$2:$B$901&amp;$C$2:$C$901&amp;$E$2:$E$901=J18&amp;K18&amp;L18,$G$2:$G$901*1,))</f>
        <v>12477926</v>
      </c>
    </row>
    <row r="19" spans="1:13" x14ac:dyDescent="0.3">
      <c r="A19" s="16">
        <v>2021</v>
      </c>
      <c r="B19" s="17" t="s">
        <v>40</v>
      </c>
      <c r="C19" s="17" t="s">
        <v>41</v>
      </c>
      <c r="D19" t="s">
        <v>43</v>
      </c>
      <c r="E19" s="14" t="s">
        <v>78</v>
      </c>
      <c r="F19" s="14"/>
      <c r="G19" s="18">
        <v>501465</v>
      </c>
      <c r="J19" t="s">
        <v>49</v>
      </c>
      <c r="K19" t="s">
        <v>41</v>
      </c>
      <c r="L19" t="s">
        <v>77</v>
      </c>
      <c r="M19" cm="1">
        <f t="array" ref="M19">SUMPRODUCT(IF($B$2:$B$901&amp;$C$2:$C$901&amp;$E$2:$E$901=J19&amp;K19&amp;L19,$G$2:$G$901*1,))</f>
        <v>7134836</v>
      </c>
    </row>
    <row r="20" spans="1:13" x14ac:dyDescent="0.3">
      <c r="A20" s="13">
        <v>2021</v>
      </c>
      <c r="B20" s="14" t="s">
        <v>40</v>
      </c>
      <c r="C20" s="14" t="s">
        <v>41</v>
      </c>
      <c r="D20" t="s">
        <v>44</v>
      </c>
      <c r="E20" s="14" t="s">
        <v>76</v>
      </c>
      <c r="F20" s="14"/>
      <c r="G20" s="15">
        <v>3721405</v>
      </c>
      <c r="J20" t="s">
        <v>49</v>
      </c>
      <c r="K20" t="s">
        <v>41</v>
      </c>
      <c r="L20" t="s">
        <v>78</v>
      </c>
      <c r="M20" cm="1">
        <f t="array" ref="M20">SUMPRODUCT(IF($B$2:$B$901&amp;$C$2:$C$901&amp;$E$2:$E$901=J20&amp;K20&amp;L20,$G$2:$G$901*1,))</f>
        <v>1170272</v>
      </c>
    </row>
    <row r="21" spans="1:13" x14ac:dyDescent="0.3">
      <c r="A21" s="16">
        <v>2021</v>
      </c>
      <c r="B21" s="17" t="s">
        <v>40</v>
      </c>
      <c r="C21" s="17" t="s">
        <v>41</v>
      </c>
      <c r="D21" t="s">
        <v>44</v>
      </c>
      <c r="E21" s="17" t="s">
        <v>76</v>
      </c>
      <c r="F21" s="14"/>
      <c r="G21" s="18">
        <v>1272798</v>
      </c>
      <c r="J21" t="s">
        <v>49</v>
      </c>
      <c r="K21" t="s">
        <v>47</v>
      </c>
      <c r="L21" t="s">
        <v>61</v>
      </c>
      <c r="M21" cm="1">
        <f t="array" ref="M21">SUMPRODUCT(IF($B$2:$B$901&amp;$C$2:$C$901&amp;$E$2:$E$901=J21&amp;K21&amp;L21,$G$2:$G$901*1,))</f>
        <v>4811246</v>
      </c>
    </row>
    <row r="22" spans="1:13" x14ac:dyDescent="0.3">
      <c r="A22" s="13">
        <v>2021</v>
      </c>
      <c r="B22" s="14" t="s">
        <v>40</v>
      </c>
      <c r="C22" s="14" t="s">
        <v>41</v>
      </c>
      <c r="D22" t="s">
        <v>44</v>
      </c>
      <c r="E22" s="14" t="s">
        <v>76</v>
      </c>
      <c r="F22" s="14"/>
      <c r="G22" s="15">
        <v>2037561</v>
      </c>
      <c r="J22" t="s">
        <v>49</v>
      </c>
      <c r="K22" t="s">
        <v>47</v>
      </c>
      <c r="L22" t="s">
        <v>62</v>
      </c>
      <c r="M22" cm="1">
        <f t="array" ref="M22">SUMPRODUCT(IF($B$2:$B$901&amp;$C$2:$C$901&amp;$E$2:$E$901=J22&amp;K22&amp;L22,$G$2:$G$901*1,))</f>
        <v>17283299</v>
      </c>
    </row>
    <row r="23" spans="1:13" x14ac:dyDescent="0.3">
      <c r="A23" s="16">
        <v>2021</v>
      </c>
      <c r="B23" s="17" t="s">
        <v>40</v>
      </c>
      <c r="C23" s="17" t="s">
        <v>41</v>
      </c>
      <c r="D23" t="s">
        <v>44</v>
      </c>
      <c r="E23" s="17" t="s">
        <v>76</v>
      </c>
      <c r="F23" s="14"/>
      <c r="G23" s="18">
        <v>2460003</v>
      </c>
      <c r="J23" t="s">
        <v>49</v>
      </c>
      <c r="K23" t="s">
        <v>47</v>
      </c>
      <c r="L23" t="s">
        <v>63</v>
      </c>
      <c r="M23" cm="1">
        <f t="array" ref="M23">SUMPRODUCT(IF($B$2:$B$901&amp;$C$2:$C$901&amp;$E$2:$E$901=J23&amp;K23&amp;L23,$G$2:$G$901*1,))</f>
        <v>3891112</v>
      </c>
    </row>
    <row r="24" spans="1:13" x14ac:dyDescent="0.3">
      <c r="A24" s="13">
        <v>2021</v>
      </c>
      <c r="B24" s="14" t="s">
        <v>40</v>
      </c>
      <c r="C24" s="14" t="s">
        <v>41</v>
      </c>
      <c r="D24" t="s">
        <v>44</v>
      </c>
      <c r="E24" s="14" t="s">
        <v>76</v>
      </c>
      <c r="F24" s="14"/>
      <c r="G24" s="15">
        <v>2771785</v>
      </c>
      <c r="J24" t="s">
        <v>49</v>
      </c>
      <c r="K24" t="s">
        <v>47</v>
      </c>
      <c r="L24" t="s">
        <v>64</v>
      </c>
      <c r="M24" cm="1">
        <f t="array" ref="M24">SUMPRODUCT(IF($B$2:$B$901&amp;$C$2:$C$901&amp;$E$2:$E$901=J24&amp;K24&amp;L24,$G$2:$G$901*1,))</f>
        <v>3982416</v>
      </c>
    </row>
    <row r="25" spans="1:13" x14ac:dyDescent="0.3">
      <c r="A25" s="16">
        <v>2021</v>
      </c>
      <c r="B25" s="17" t="s">
        <v>40</v>
      </c>
      <c r="C25" s="17" t="s">
        <v>41</v>
      </c>
      <c r="D25" t="s">
        <v>44</v>
      </c>
      <c r="E25" s="17" t="s">
        <v>77</v>
      </c>
      <c r="F25" s="14"/>
      <c r="G25" s="18">
        <v>2664620</v>
      </c>
      <c r="J25" t="s">
        <v>49</v>
      </c>
      <c r="K25" t="s">
        <v>47</v>
      </c>
      <c r="L25" t="s">
        <v>75</v>
      </c>
      <c r="M25" cm="1">
        <f t="array" ref="M25">SUMPRODUCT(IF($B$2:$B$901&amp;$C$2:$C$901&amp;$E$2:$E$901=J25&amp;K25&amp;L25,$G$2:$G$901*1,))</f>
        <v>3695138</v>
      </c>
    </row>
    <row r="26" spans="1:13" x14ac:dyDescent="0.3">
      <c r="A26" s="13">
        <v>2021</v>
      </c>
      <c r="B26" s="14" t="s">
        <v>40</v>
      </c>
      <c r="C26" s="14" t="s">
        <v>41</v>
      </c>
      <c r="D26" t="s">
        <v>44</v>
      </c>
      <c r="E26" s="14" t="s">
        <v>77</v>
      </c>
      <c r="F26" s="14"/>
      <c r="G26" s="15">
        <v>2272329</v>
      </c>
      <c r="J26" t="s">
        <v>50</v>
      </c>
      <c r="K26" t="s">
        <v>41</v>
      </c>
      <c r="L26" t="s">
        <v>76</v>
      </c>
      <c r="M26" cm="1">
        <f t="array" ref="M26">SUMPRODUCT(IF($B$2:$B$901&amp;$C$2:$C$901&amp;$E$2:$E$901=J26&amp;K26&amp;L26,$G$2:$G$901*1,))</f>
        <v>33752842</v>
      </c>
    </row>
    <row r="27" spans="1:13" x14ac:dyDescent="0.3">
      <c r="A27" s="16">
        <v>2021</v>
      </c>
      <c r="B27" s="17" t="s">
        <v>40</v>
      </c>
      <c r="C27" s="17" t="s">
        <v>41</v>
      </c>
      <c r="D27" t="s">
        <v>44</v>
      </c>
      <c r="E27" s="17" t="s">
        <v>77</v>
      </c>
      <c r="F27" s="14"/>
      <c r="G27" s="18">
        <v>2344643</v>
      </c>
      <c r="J27" t="s">
        <v>50</v>
      </c>
      <c r="K27" t="s">
        <v>41</v>
      </c>
      <c r="L27" t="s">
        <v>77</v>
      </c>
      <c r="M27" cm="1">
        <f t="array" ref="M27">SUMPRODUCT(IF($B$2:$B$901&amp;$C$2:$C$901&amp;$E$2:$E$901=J27&amp;K27&amp;L27,$G$2:$G$901*1,))</f>
        <v>23581545</v>
      </c>
    </row>
    <row r="28" spans="1:13" x14ac:dyDescent="0.3">
      <c r="A28" s="13">
        <v>2021</v>
      </c>
      <c r="B28" s="14" t="s">
        <v>40</v>
      </c>
      <c r="C28" s="14" t="s">
        <v>41</v>
      </c>
      <c r="D28" t="s">
        <v>44</v>
      </c>
      <c r="E28" s="14" t="s">
        <v>78</v>
      </c>
      <c r="F28" s="14"/>
      <c r="G28" s="15">
        <v>1379254</v>
      </c>
      <c r="J28" t="s">
        <v>50</v>
      </c>
      <c r="K28" t="s">
        <v>41</v>
      </c>
      <c r="L28" t="s">
        <v>78</v>
      </c>
      <c r="M28" cm="1">
        <f t="array" ref="M28">SUMPRODUCT(IF($B$2:$B$901&amp;$C$2:$C$901&amp;$E$2:$E$901=J28&amp;K28&amp;L28,$G$2:$G$901*1,))</f>
        <v>4576078</v>
      </c>
    </row>
    <row r="29" spans="1:13" x14ac:dyDescent="0.3">
      <c r="A29" s="16">
        <v>2021</v>
      </c>
      <c r="B29" s="17" t="s">
        <v>40</v>
      </c>
      <c r="C29" s="17" t="s">
        <v>41</v>
      </c>
      <c r="D29" t="s">
        <v>45</v>
      </c>
      <c r="E29" s="14" t="s">
        <v>76</v>
      </c>
      <c r="F29" s="14"/>
      <c r="G29" s="18">
        <v>8955447</v>
      </c>
      <c r="J29" t="s">
        <v>50</v>
      </c>
      <c r="K29" t="s">
        <v>47</v>
      </c>
      <c r="L29" t="s">
        <v>61</v>
      </c>
      <c r="M29" cm="1">
        <f t="array" ref="M29">SUMPRODUCT(IF($B$2:$B$901&amp;$C$2:$C$901&amp;$E$2:$E$901=J29&amp;K29&amp;L29,$G$2:$G$901*1,))</f>
        <v>21248123</v>
      </c>
    </row>
    <row r="30" spans="1:13" x14ac:dyDescent="0.3">
      <c r="A30" s="13">
        <v>2021</v>
      </c>
      <c r="B30" s="14" t="s">
        <v>40</v>
      </c>
      <c r="C30" s="14" t="s">
        <v>41</v>
      </c>
      <c r="D30" t="s">
        <v>45</v>
      </c>
      <c r="E30" s="17" t="s">
        <v>76</v>
      </c>
      <c r="F30" s="14"/>
      <c r="G30" s="15">
        <v>2646843</v>
      </c>
      <c r="J30" t="s">
        <v>50</v>
      </c>
      <c r="K30" t="s">
        <v>47</v>
      </c>
      <c r="L30" t="s">
        <v>62</v>
      </c>
      <c r="M30" cm="1">
        <f t="array" ref="M30">SUMPRODUCT(IF($B$2:$B$901&amp;$C$2:$C$901&amp;$E$2:$E$901=J30&amp;K30&amp;L30,$G$2:$G$901*1,))</f>
        <v>47010862</v>
      </c>
    </row>
    <row r="31" spans="1:13" x14ac:dyDescent="0.3">
      <c r="A31" s="16">
        <v>2021</v>
      </c>
      <c r="B31" s="17" t="s">
        <v>40</v>
      </c>
      <c r="C31" s="17" t="s">
        <v>41</v>
      </c>
      <c r="D31" t="s">
        <v>45</v>
      </c>
      <c r="E31" s="14" t="s">
        <v>76</v>
      </c>
      <c r="F31" s="14"/>
      <c r="G31" s="18">
        <v>4421437</v>
      </c>
      <c r="J31" t="s">
        <v>50</v>
      </c>
      <c r="K31" t="s">
        <v>47</v>
      </c>
      <c r="L31" t="s">
        <v>63</v>
      </c>
      <c r="M31" cm="1">
        <f t="array" ref="M31">SUMPRODUCT(IF($B$2:$B$901&amp;$C$2:$C$901&amp;$E$2:$E$901=J31&amp;K31&amp;L31,$G$2:$G$901*1,))</f>
        <v>12808027</v>
      </c>
    </row>
    <row r="32" spans="1:13" x14ac:dyDescent="0.3">
      <c r="A32" s="13">
        <v>2021</v>
      </c>
      <c r="B32" s="14" t="s">
        <v>40</v>
      </c>
      <c r="C32" s="14" t="s">
        <v>41</v>
      </c>
      <c r="D32" t="s">
        <v>45</v>
      </c>
      <c r="E32" s="17" t="s">
        <v>76</v>
      </c>
      <c r="F32" s="14"/>
      <c r="G32" s="15">
        <v>5724828</v>
      </c>
      <c r="J32" t="s">
        <v>50</v>
      </c>
      <c r="K32" t="s">
        <v>47</v>
      </c>
      <c r="L32" t="s">
        <v>64</v>
      </c>
      <c r="M32" cm="1">
        <f t="array" ref="M32">SUMPRODUCT(IF($B$2:$B$901&amp;$C$2:$C$901&amp;$E$2:$E$901=J32&amp;K32&amp;L32,$G$2:$G$901*1,))</f>
        <v>15190888</v>
      </c>
    </row>
    <row r="33" spans="1:13" x14ac:dyDescent="0.3">
      <c r="A33" s="16">
        <v>2021</v>
      </c>
      <c r="B33" s="17" t="s">
        <v>40</v>
      </c>
      <c r="C33" s="17" t="s">
        <v>41</v>
      </c>
      <c r="D33" t="s">
        <v>45</v>
      </c>
      <c r="E33" s="14" t="s">
        <v>76</v>
      </c>
      <c r="F33" s="14"/>
      <c r="G33" s="18">
        <v>6967076</v>
      </c>
      <c r="J33" t="s">
        <v>50</v>
      </c>
      <c r="K33" t="s">
        <v>47</v>
      </c>
      <c r="L33" t="s">
        <v>75</v>
      </c>
      <c r="M33" cm="1">
        <f t="array" ref="M33">SUMPRODUCT(IF($B$2:$B$901&amp;$C$2:$C$901&amp;$E$2:$E$901=J33&amp;K33&amp;L33,$G$2:$G$901*1,))</f>
        <v>13742073</v>
      </c>
    </row>
    <row r="34" spans="1:13" x14ac:dyDescent="0.3">
      <c r="A34" s="13">
        <v>2021</v>
      </c>
      <c r="B34" s="14" t="s">
        <v>40</v>
      </c>
      <c r="C34" s="14" t="s">
        <v>41</v>
      </c>
      <c r="D34" t="s">
        <v>45</v>
      </c>
      <c r="E34" s="17" t="s">
        <v>77</v>
      </c>
      <c r="F34" s="14"/>
      <c r="G34" s="15">
        <v>6503192</v>
      </c>
      <c r="J34" t="s">
        <v>51</v>
      </c>
      <c r="K34" t="s">
        <v>41</v>
      </c>
      <c r="L34" t="s">
        <v>76</v>
      </c>
      <c r="M34" cm="1">
        <f t="array" ref="M34">SUMPRODUCT(IF($B$2:$B$901&amp;$C$2:$C$901&amp;$E$2:$E$901=J34&amp;K34&amp;L34,$G$2:$G$901*1,))</f>
        <v>32269446</v>
      </c>
    </row>
    <row r="35" spans="1:13" x14ac:dyDescent="0.3">
      <c r="A35" s="16">
        <v>2021</v>
      </c>
      <c r="B35" s="17" t="s">
        <v>40</v>
      </c>
      <c r="C35" s="17" t="s">
        <v>41</v>
      </c>
      <c r="D35" t="s">
        <v>45</v>
      </c>
      <c r="E35" s="14" t="s">
        <v>77</v>
      </c>
      <c r="F35" s="14"/>
      <c r="G35" s="18">
        <v>5148653</v>
      </c>
      <c r="J35" t="s">
        <v>51</v>
      </c>
      <c r="K35" t="s">
        <v>41</v>
      </c>
      <c r="L35" t="s">
        <v>77</v>
      </c>
      <c r="M35" cm="1">
        <f t="array" ref="M35">SUMPRODUCT(IF($B$2:$B$901&amp;$C$2:$C$901&amp;$E$2:$E$901=J35&amp;K35&amp;L35,$G$2:$G$901*1,))</f>
        <v>23643420</v>
      </c>
    </row>
    <row r="36" spans="1:13" x14ac:dyDescent="0.3">
      <c r="A36" s="13">
        <v>2021</v>
      </c>
      <c r="B36" s="14" t="s">
        <v>40</v>
      </c>
      <c r="C36" s="14" t="s">
        <v>41</v>
      </c>
      <c r="D36" t="s">
        <v>45</v>
      </c>
      <c r="E36" s="17" t="s">
        <v>77</v>
      </c>
      <c r="F36" s="14"/>
      <c r="G36" s="15">
        <v>5808565</v>
      </c>
      <c r="J36" t="s">
        <v>51</v>
      </c>
      <c r="K36" t="s">
        <v>41</v>
      </c>
      <c r="L36" t="s">
        <v>78</v>
      </c>
      <c r="M36" cm="1">
        <f t="array" ref="M36">SUMPRODUCT(IF($B$2:$B$901&amp;$C$2:$C$901&amp;$E$2:$E$901=J36&amp;K36&amp;L36,$G$2:$G$901*1,))</f>
        <v>5904794</v>
      </c>
    </row>
    <row r="37" spans="1:13" x14ac:dyDescent="0.3">
      <c r="A37" s="16">
        <v>2021</v>
      </c>
      <c r="B37" s="17" t="s">
        <v>40</v>
      </c>
      <c r="C37" s="17" t="s">
        <v>41</v>
      </c>
      <c r="D37" t="s">
        <v>45</v>
      </c>
      <c r="E37" s="14" t="s">
        <v>78</v>
      </c>
      <c r="F37" s="14"/>
      <c r="G37" s="18">
        <v>3386606</v>
      </c>
      <c r="J37" t="s">
        <v>51</v>
      </c>
      <c r="K37" t="s">
        <v>47</v>
      </c>
      <c r="L37" t="s">
        <v>61</v>
      </c>
      <c r="M37" cm="1">
        <f t="array" ref="M37">SUMPRODUCT(IF($B$2:$B$901&amp;$C$2:$C$901&amp;$E$2:$E$901=J37&amp;K37&amp;L37,$G$2:$G$901*1,))</f>
        <v>15503050</v>
      </c>
    </row>
    <row r="38" spans="1:13" x14ac:dyDescent="0.3">
      <c r="A38" s="13">
        <v>2021</v>
      </c>
      <c r="B38" s="14" t="s">
        <v>40</v>
      </c>
      <c r="C38" s="14" t="s">
        <v>41</v>
      </c>
      <c r="D38" t="s">
        <v>46</v>
      </c>
      <c r="E38" s="14" t="s">
        <v>76</v>
      </c>
      <c r="F38" s="14"/>
      <c r="G38" s="15">
        <v>37971840</v>
      </c>
      <c r="J38" t="s">
        <v>51</v>
      </c>
      <c r="K38" t="s">
        <v>47</v>
      </c>
      <c r="L38" t="s">
        <v>62</v>
      </c>
      <c r="M38" cm="1">
        <f t="array" ref="M38">SUMPRODUCT(IF($B$2:$B$901&amp;$C$2:$C$901&amp;$E$2:$E$901=J38&amp;K38&amp;L38,$G$2:$G$901*1,))</f>
        <v>44122812</v>
      </c>
    </row>
    <row r="39" spans="1:13" x14ac:dyDescent="0.3">
      <c r="A39" s="16">
        <v>2021</v>
      </c>
      <c r="B39" s="17" t="s">
        <v>40</v>
      </c>
      <c r="C39" s="17" t="s">
        <v>41</v>
      </c>
      <c r="D39" t="s">
        <v>46</v>
      </c>
      <c r="E39" s="17" t="s">
        <v>76</v>
      </c>
      <c r="F39" s="14"/>
      <c r="G39" s="18">
        <v>10637160</v>
      </c>
      <c r="J39" t="s">
        <v>51</v>
      </c>
      <c r="K39" t="s">
        <v>47</v>
      </c>
      <c r="L39" t="s">
        <v>63</v>
      </c>
      <c r="M39" cm="1">
        <f t="array" ref="M39">SUMPRODUCT(IF($B$2:$B$901&amp;$C$2:$C$901&amp;$E$2:$E$901=J39&amp;K39&amp;L39,$G$2:$G$901*1,))</f>
        <v>10614834</v>
      </c>
    </row>
    <row r="40" spans="1:13" x14ac:dyDescent="0.3">
      <c r="A40" s="13">
        <v>2021</v>
      </c>
      <c r="B40" s="14" t="s">
        <v>40</v>
      </c>
      <c r="C40" s="14" t="s">
        <v>41</v>
      </c>
      <c r="D40" t="s">
        <v>46</v>
      </c>
      <c r="E40" s="14" t="s">
        <v>76</v>
      </c>
      <c r="F40" s="14"/>
      <c r="G40" s="15">
        <v>16161055</v>
      </c>
      <c r="J40" t="s">
        <v>51</v>
      </c>
      <c r="K40" t="s">
        <v>47</v>
      </c>
      <c r="L40" t="s">
        <v>64</v>
      </c>
      <c r="M40" cm="1">
        <f t="array" ref="M40">SUMPRODUCT(IF($B$2:$B$901&amp;$C$2:$C$901&amp;$E$2:$E$901=J40&amp;K40&amp;L40,$G$2:$G$901*1,))</f>
        <v>12036125</v>
      </c>
    </row>
    <row r="41" spans="1:13" x14ac:dyDescent="0.3">
      <c r="A41" s="16">
        <v>2021</v>
      </c>
      <c r="B41" s="17" t="s">
        <v>40</v>
      </c>
      <c r="C41" s="17" t="s">
        <v>41</v>
      </c>
      <c r="D41" t="s">
        <v>46</v>
      </c>
      <c r="E41" s="17" t="s">
        <v>76</v>
      </c>
      <c r="F41" s="14"/>
      <c r="G41" s="18">
        <v>25661130</v>
      </c>
      <c r="J41" t="s">
        <v>51</v>
      </c>
      <c r="K41" t="s">
        <v>47</v>
      </c>
      <c r="L41" t="s">
        <v>75</v>
      </c>
      <c r="M41" cm="1">
        <f t="array" ref="M41">SUMPRODUCT(IF($B$2:$B$901&amp;$C$2:$C$901&amp;$E$2:$E$901=J41&amp;K41&amp;L41,$G$2:$G$901*1,))</f>
        <v>13624903</v>
      </c>
    </row>
    <row r="42" spans="1:13" x14ac:dyDescent="0.3">
      <c r="A42" s="13">
        <v>2021</v>
      </c>
      <c r="B42" s="14" t="s">
        <v>40</v>
      </c>
      <c r="C42" s="14" t="s">
        <v>41</v>
      </c>
      <c r="D42" t="s">
        <v>46</v>
      </c>
      <c r="E42" s="14" t="s">
        <v>76</v>
      </c>
      <c r="F42" s="14"/>
      <c r="G42" s="15">
        <v>40679580</v>
      </c>
      <c r="J42" t="s">
        <v>52</v>
      </c>
      <c r="K42" t="s">
        <v>41</v>
      </c>
      <c r="L42" t="s">
        <v>76</v>
      </c>
      <c r="M42" cm="1">
        <f t="array" ref="M42">SUMPRODUCT(IF($B$2:$B$901&amp;$C$2:$C$901&amp;$E$2:$E$901=J42&amp;K42&amp;L42,$G$2:$G$901*1,))</f>
        <v>13346156</v>
      </c>
    </row>
    <row r="43" spans="1:13" x14ac:dyDescent="0.3">
      <c r="A43" s="16">
        <v>2021</v>
      </c>
      <c r="B43" s="17" t="s">
        <v>40</v>
      </c>
      <c r="C43" s="17" t="s">
        <v>41</v>
      </c>
      <c r="D43" t="s">
        <v>46</v>
      </c>
      <c r="E43" s="17" t="s">
        <v>77</v>
      </c>
      <c r="F43" s="14"/>
      <c r="G43" s="18">
        <v>39150298</v>
      </c>
      <c r="J43" t="s">
        <v>52</v>
      </c>
      <c r="K43" t="s">
        <v>41</v>
      </c>
      <c r="L43" t="s">
        <v>77</v>
      </c>
      <c r="M43" cm="1">
        <f t="array" ref="M43">SUMPRODUCT(IF($B$2:$B$901&amp;$C$2:$C$901&amp;$E$2:$E$901=J43&amp;K43&amp;L43,$G$2:$G$901*1,))</f>
        <v>9142512</v>
      </c>
    </row>
    <row r="44" spans="1:13" x14ac:dyDescent="0.3">
      <c r="A44" s="13">
        <v>2021</v>
      </c>
      <c r="B44" s="14" t="s">
        <v>40</v>
      </c>
      <c r="C44" s="14" t="s">
        <v>41</v>
      </c>
      <c r="D44" t="s">
        <v>46</v>
      </c>
      <c r="E44" s="14" t="s">
        <v>77</v>
      </c>
      <c r="F44" s="14"/>
      <c r="G44" s="15">
        <v>20714145</v>
      </c>
      <c r="J44" t="s">
        <v>52</v>
      </c>
      <c r="K44" t="s">
        <v>41</v>
      </c>
      <c r="L44" t="s">
        <v>78</v>
      </c>
      <c r="M44" cm="1">
        <f t="array" ref="M44">SUMPRODUCT(IF($B$2:$B$901&amp;$C$2:$C$901&amp;$E$2:$E$901=J44&amp;K44&amp;L44,$G$2:$G$901*1,))</f>
        <v>1910912</v>
      </c>
    </row>
    <row r="45" spans="1:13" x14ac:dyDescent="0.3">
      <c r="A45" s="16">
        <v>2021</v>
      </c>
      <c r="B45" s="17" t="s">
        <v>40</v>
      </c>
      <c r="C45" s="17" t="s">
        <v>41</v>
      </c>
      <c r="D45" t="s">
        <v>46</v>
      </c>
      <c r="E45" s="17" t="s">
        <v>77</v>
      </c>
      <c r="F45" s="14"/>
      <c r="G45" s="18">
        <v>31511478</v>
      </c>
      <c r="J45" t="s">
        <v>52</v>
      </c>
      <c r="K45" t="s">
        <v>47</v>
      </c>
      <c r="L45" t="s">
        <v>61</v>
      </c>
      <c r="M45" cm="1">
        <f t="array" ref="M45">SUMPRODUCT(IF($B$2:$B$901&amp;$C$2:$C$901&amp;$E$2:$E$901=J45&amp;K45&amp;L45,$G$2:$G$901*1,))</f>
        <v>3344399</v>
      </c>
    </row>
    <row r="46" spans="1:13" x14ac:dyDescent="0.3">
      <c r="A46" s="13">
        <v>2021</v>
      </c>
      <c r="B46" s="14" t="s">
        <v>40</v>
      </c>
      <c r="C46" s="14" t="s">
        <v>41</v>
      </c>
      <c r="D46" t="s">
        <v>46</v>
      </c>
      <c r="E46" s="14" t="s">
        <v>78</v>
      </c>
      <c r="F46" s="14"/>
      <c r="G46" s="15">
        <v>23803632</v>
      </c>
      <c r="J46" t="s">
        <v>52</v>
      </c>
      <c r="K46" t="s">
        <v>47</v>
      </c>
      <c r="L46" t="s">
        <v>62</v>
      </c>
      <c r="M46" cm="1">
        <f t="array" ref="M46">SUMPRODUCT(IF($B$2:$B$901&amp;$C$2:$C$901&amp;$E$2:$E$901=J46&amp;K46&amp;L46,$G$2:$G$901*1,))</f>
        <v>15617842</v>
      </c>
    </row>
    <row r="47" spans="1:13" x14ac:dyDescent="0.3">
      <c r="A47" s="16">
        <v>2021</v>
      </c>
      <c r="B47" s="17" t="s">
        <v>40</v>
      </c>
      <c r="C47" s="17" t="s">
        <v>47</v>
      </c>
      <c r="D47" t="s">
        <v>42</v>
      </c>
      <c r="E47" s="14" t="s">
        <v>61</v>
      </c>
      <c r="F47" s="14"/>
      <c r="G47" s="18">
        <v>18855939</v>
      </c>
      <c r="J47" t="s">
        <v>52</v>
      </c>
      <c r="K47" t="s">
        <v>47</v>
      </c>
      <c r="L47" t="s">
        <v>63</v>
      </c>
      <c r="M47" cm="1">
        <f t="array" ref="M47">SUMPRODUCT(IF($B$2:$B$901&amp;$C$2:$C$901&amp;$E$2:$E$901=J47&amp;K47&amp;L47,$G$2:$G$901*1,))</f>
        <v>3563809</v>
      </c>
    </row>
    <row r="48" spans="1:13" x14ac:dyDescent="0.3">
      <c r="A48" s="13">
        <v>2021</v>
      </c>
      <c r="B48" s="14" t="s">
        <v>40</v>
      </c>
      <c r="C48" s="14" t="s">
        <v>47</v>
      </c>
      <c r="D48" t="s">
        <v>42</v>
      </c>
      <c r="E48" s="17" t="s">
        <v>61</v>
      </c>
      <c r="F48" s="14"/>
      <c r="G48" s="15">
        <v>11133175</v>
      </c>
      <c r="J48" t="s">
        <v>52</v>
      </c>
      <c r="K48" t="s">
        <v>47</v>
      </c>
      <c r="L48" t="s">
        <v>64</v>
      </c>
      <c r="M48" cm="1">
        <f t="array" ref="M48">SUMPRODUCT(IF($B$2:$B$901&amp;$C$2:$C$901&amp;$E$2:$E$901=J48&amp;K48&amp;L48,$G$2:$G$901*1,))</f>
        <v>3902160</v>
      </c>
    </row>
    <row r="49" spans="1:13" x14ac:dyDescent="0.3">
      <c r="A49" s="16">
        <v>2021</v>
      </c>
      <c r="B49" s="17" t="s">
        <v>40</v>
      </c>
      <c r="C49" s="17" t="s">
        <v>47</v>
      </c>
      <c r="D49" t="s">
        <v>42</v>
      </c>
      <c r="E49" s="14" t="s">
        <v>62</v>
      </c>
      <c r="F49" s="14"/>
      <c r="G49" s="18">
        <v>17483766</v>
      </c>
      <c r="J49" t="s">
        <v>52</v>
      </c>
      <c r="K49" t="s">
        <v>47</v>
      </c>
      <c r="L49" t="s">
        <v>75</v>
      </c>
      <c r="M49" cm="1">
        <f t="array" ref="M49">SUMPRODUCT(IF($B$2:$B$901&amp;$C$2:$C$901&amp;$E$2:$E$901=J49&amp;K49&amp;L49,$G$2:$G$901*1,))</f>
        <v>4767446</v>
      </c>
    </row>
    <row r="50" spans="1:13" x14ac:dyDescent="0.3">
      <c r="A50" s="13">
        <v>2021</v>
      </c>
      <c r="B50" s="14" t="s">
        <v>40</v>
      </c>
      <c r="C50" s="14" t="s">
        <v>47</v>
      </c>
      <c r="D50" t="s">
        <v>42</v>
      </c>
      <c r="E50" s="17" t="s">
        <v>62</v>
      </c>
      <c r="F50" s="14"/>
      <c r="G50" s="15">
        <v>20440924</v>
      </c>
      <c r="J50" t="s">
        <v>53</v>
      </c>
      <c r="K50" t="s">
        <v>41</v>
      </c>
      <c r="L50" t="s">
        <v>76</v>
      </c>
      <c r="M50" cm="1">
        <f t="array" ref="M50">SUMPRODUCT(IF($B$2:$B$901&amp;$C$2:$C$901&amp;$E$2:$E$901=J50&amp;K50&amp;L50,$G$2:$G$901*1,))</f>
        <v>25193769</v>
      </c>
    </row>
    <row r="51" spans="1:13" x14ac:dyDescent="0.3">
      <c r="A51" s="16">
        <v>2021</v>
      </c>
      <c r="B51" s="17" t="s">
        <v>40</v>
      </c>
      <c r="C51" s="17" t="s">
        <v>47</v>
      </c>
      <c r="D51" t="s">
        <v>42</v>
      </c>
      <c r="E51" s="14" t="s">
        <v>62</v>
      </c>
      <c r="F51" s="14"/>
      <c r="G51" s="18">
        <v>23839391</v>
      </c>
      <c r="J51" t="s">
        <v>53</v>
      </c>
      <c r="K51" t="s">
        <v>41</v>
      </c>
      <c r="L51" t="s">
        <v>77</v>
      </c>
      <c r="M51" cm="1">
        <f t="array" ref="M51">SUMPRODUCT(IF($B$2:$B$901&amp;$C$2:$C$901&amp;$E$2:$E$901=J51&amp;K51&amp;L51,$G$2:$G$901*1,))</f>
        <v>17965140</v>
      </c>
    </row>
    <row r="52" spans="1:13" x14ac:dyDescent="0.3">
      <c r="A52" s="13">
        <v>2021</v>
      </c>
      <c r="B52" s="14" t="s">
        <v>40</v>
      </c>
      <c r="C52" s="14" t="s">
        <v>47</v>
      </c>
      <c r="D52" t="s">
        <v>42</v>
      </c>
      <c r="E52" s="17" t="s">
        <v>62</v>
      </c>
      <c r="F52" s="14"/>
      <c r="G52" s="15">
        <v>23518958</v>
      </c>
      <c r="J52" t="s">
        <v>53</v>
      </c>
      <c r="K52" t="s">
        <v>41</v>
      </c>
      <c r="L52" t="s">
        <v>78</v>
      </c>
      <c r="M52" cm="1">
        <f t="array" ref="M52">SUMPRODUCT(IF($B$2:$B$901&amp;$C$2:$C$901&amp;$E$2:$E$901=J52&amp;K52&amp;L52,$G$2:$G$901*1,))</f>
        <v>4150788</v>
      </c>
    </row>
    <row r="53" spans="1:13" x14ac:dyDescent="0.3">
      <c r="A53" s="16">
        <v>2021</v>
      </c>
      <c r="B53" s="17" t="s">
        <v>40</v>
      </c>
      <c r="C53" s="17" t="s">
        <v>47</v>
      </c>
      <c r="D53" t="s">
        <v>42</v>
      </c>
      <c r="E53" s="14" t="s">
        <v>63</v>
      </c>
      <c r="F53" s="14"/>
      <c r="G53" s="18">
        <v>20471461</v>
      </c>
      <c r="J53" t="s">
        <v>53</v>
      </c>
      <c r="K53" t="s">
        <v>47</v>
      </c>
      <c r="L53" t="s">
        <v>61</v>
      </c>
      <c r="M53" cm="1">
        <f t="array" ref="M53">SUMPRODUCT(IF($B$2:$B$901&amp;$C$2:$C$901&amp;$E$2:$E$901=J53&amp;K53&amp;L53,$G$2:$G$901*1,))</f>
        <v>13385791</v>
      </c>
    </row>
    <row r="54" spans="1:13" x14ac:dyDescent="0.3">
      <c r="A54" s="13">
        <v>2021</v>
      </c>
      <c r="B54" s="14" t="s">
        <v>40</v>
      </c>
      <c r="C54" s="14" t="s">
        <v>47</v>
      </c>
      <c r="D54" t="s">
        <v>42</v>
      </c>
      <c r="E54" s="17" t="s">
        <v>64</v>
      </c>
      <c r="F54" s="14"/>
      <c r="G54" s="15">
        <v>17642541</v>
      </c>
      <c r="J54" t="s">
        <v>53</v>
      </c>
      <c r="K54" t="s">
        <v>47</v>
      </c>
      <c r="L54" t="s">
        <v>62</v>
      </c>
      <c r="M54" cm="1">
        <f t="array" ref="M54">SUMPRODUCT(IF($B$2:$B$901&amp;$C$2:$C$901&amp;$E$2:$E$901=J54&amp;K54&amp;L54,$G$2:$G$901*1,))</f>
        <v>33550720</v>
      </c>
    </row>
    <row r="55" spans="1:13" x14ac:dyDescent="0.3">
      <c r="A55" s="16">
        <v>2021</v>
      </c>
      <c r="B55" s="17" t="s">
        <v>40</v>
      </c>
      <c r="C55" s="17" t="s">
        <v>47</v>
      </c>
      <c r="D55" t="s">
        <v>42</v>
      </c>
      <c r="E55" s="14" t="s">
        <v>75</v>
      </c>
      <c r="F55" s="14"/>
      <c r="G55" s="18">
        <v>11250885</v>
      </c>
      <c r="J55" t="s">
        <v>53</v>
      </c>
      <c r="K55" t="s">
        <v>47</v>
      </c>
      <c r="L55" t="s">
        <v>63</v>
      </c>
      <c r="M55" cm="1">
        <f t="array" ref="M55">SUMPRODUCT(IF($B$2:$B$901&amp;$C$2:$C$901&amp;$E$2:$E$901=J55&amp;K55&amp;L55,$G$2:$G$901*1,))</f>
        <v>7489371</v>
      </c>
    </row>
    <row r="56" spans="1:13" x14ac:dyDescent="0.3">
      <c r="A56" s="13">
        <v>2021</v>
      </c>
      <c r="B56" s="14" t="s">
        <v>40</v>
      </c>
      <c r="C56" s="14" t="s">
        <v>47</v>
      </c>
      <c r="D56" t="s">
        <v>43</v>
      </c>
      <c r="E56" s="14" t="s">
        <v>61</v>
      </c>
      <c r="F56" s="14"/>
      <c r="G56" s="15">
        <v>8807263</v>
      </c>
      <c r="J56" t="s">
        <v>53</v>
      </c>
      <c r="K56" t="s">
        <v>47</v>
      </c>
      <c r="L56" t="s">
        <v>64</v>
      </c>
      <c r="M56" cm="1">
        <f t="array" ref="M56">SUMPRODUCT(IF($B$2:$B$901&amp;$C$2:$C$901&amp;$E$2:$E$901=J56&amp;K56&amp;L56,$G$2:$G$901*1,))</f>
        <v>8836366</v>
      </c>
    </row>
    <row r="57" spans="1:13" x14ac:dyDescent="0.3">
      <c r="A57" s="16">
        <v>2021</v>
      </c>
      <c r="B57" s="17" t="s">
        <v>40</v>
      </c>
      <c r="C57" s="17" t="s">
        <v>47</v>
      </c>
      <c r="D57" t="s">
        <v>43</v>
      </c>
      <c r="E57" s="17" t="s">
        <v>61</v>
      </c>
      <c r="F57" s="14"/>
      <c r="G57" s="18">
        <v>3911472</v>
      </c>
      <c r="J57" t="s">
        <v>53</v>
      </c>
      <c r="K57" t="s">
        <v>47</v>
      </c>
      <c r="L57" t="s">
        <v>75</v>
      </c>
      <c r="M57" cm="1">
        <f t="array" ref="M57">SUMPRODUCT(IF($B$2:$B$901&amp;$C$2:$C$901&amp;$E$2:$E$901=J57&amp;K57&amp;L57,$G$2:$G$901*1,))</f>
        <v>9458643</v>
      </c>
    </row>
    <row r="58" spans="1:13" x14ac:dyDescent="0.3">
      <c r="A58" s="13">
        <v>2021</v>
      </c>
      <c r="B58" s="14" t="s">
        <v>40</v>
      </c>
      <c r="C58" s="14" t="s">
        <v>47</v>
      </c>
      <c r="D58" t="s">
        <v>43</v>
      </c>
      <c r="E58" s="14" t="s">
        <v>62</v>
      </c>
      <c r="F58" s="14"/>
      <c r="G58" s="15">
        <v>6165443</v>
      </c>
      <c r="J58" t="s">
        <v>54</v>
      </c>
      <c r="K58" t="s">
        <v>41</v>
      </c>
      <c r="L58" t="s">
        <v>76</v>
      </c>
      <c r="M58" cm="1">
        <f t="array" ref="M58">SUMPRODUCT(IF($B$2:$B$901&amp;$C$2:$C$901&amp;$E$2:$E$901=J58&amp;K58&amp;L58,$G$2:$G$901*1,))</f>
        <v>17776425</v>
      </c>
    </row>
    <row r="59" spans="1:13" x14ac:dyDescent="0.3">
      <c r="A59" s="16">
        <v>2021</v>
      </c>
      <c r="B59" s="17" t="s">
        <v>40</v>
      </c>
      <c r="C59" s="17" t="s">
        <v>47</v>
      </c>
      <c r="D59" t="s">
        <v>43</v>
      </c>
      <c r="E59" s="17" t="s">
        <v>62</v>
      </c>
      <c r="F59" s="14"/>
      <c r="G59" s="18">
        <v>8548286</v>
      </c>
      <c r="J59" t="s">
        <v>54</v>
      </c>
      <c r="K59" t="s">
        <v>41</v>
      </c>
      <c r="L59" t="s">
        <v>77</v>
      </c>
      <c r="M59" cm="1">
        <f t="array" ref="M59">SUMPRODUCT(IF($B$2:$B$901&amp;$C$2:$C$901&amp;$E$2:$E$901=J59&amp;K59&amp;L59,$G$2:$G$901*1,))</f>
        <v>13324634</v>
      </c>
    </row>
    <row r="60" spans="1:13" x14ac:dyDescent="0.3">
      <c r="A60" s="13">
        <v>2021</v>
      </c>
      <c r="B60" s="14" t="s">
        <v>40</v>
      </c>
      <c r="C60" s="14" t="s">
        <v>47</v>
      </c>
      <c r="D60" t="s">
        <v>43</v>
      </c>
      <c r="E60" s="14" t="s">
        <v>62</v>
      </c>
      <c r="F60" s="14"/>
      <c r="G60" s="15">
        <v>11176841</v>
      </c>
      <c r="J60" t="s">
        <v>54</v>
      </c>
      <c r="K60" t="s">
        <v>41</v>
      </c>
      <c r="L60" t="s">
        <v>78</v>
      </c>
      <c r="M60" cm="1">
        <f t="array" ref="M60">SUMPRODUCT(IF($B$2:$B$901&amp;$C$2:$C$901&amp;$E$2:$E$901=J60&amp;K60&amp;L60,$G$2:$G$901*1,))</f>
        <v>3031029</v>
      </c>
    </row>
    <row r="61" spans="1:13" x14ac:dyDescent="0.3">
      <c r="A61" s="16">
        <v>2021</v>
      </c>
      <c r="B61" s="17" t="s">
        <v>40</v>
      </c>
      <c r="C61" s="17" t="s">
        <v>47</v>
      </c>
      <c r="D61" t="s">
        <v>43</v>
      </c>
      <c r="E61" s="17" t="s">
        <v>62</v>
      </c>
      <c r="F61" s="14"/>
      <c r="G61" s="18">
        <v>9708701</v>
      </c>
      <c r="J61" t="s">
        <v>54</v>
      </c>
      <c r="K61" t="s">
        <v>47</v>
      </c>
      <c r="L61" t="s">
        <v>61</v>
      </c>
      <c r="M61" cm="1">
        <f t="array" ref="M61">SUMPRODUCT(IF($B$2:$B$901&amp;$C$2:$C$901&amp;$E$2:$E$901=J61&amp;K61&amp;L61,$G$2:$G$901*1,))</f>
        <v>6557038</v>
      </c>
    </row>
    <row r="62" spans="1:13" x14ac:dyDescent="0.3">
      <c r="A62" s="13">
        <v>2021</v>
      </c>
      <c r="B62" s="14" t="s">
        <v>40</v>
      </c>
      <c r="C62" s="14" t="s">
        <v>47</v>
      </c>
      <c r="D62" t="s">
        <v>43</v>
      </c>
      <c r="E62" s="14" t="s">
        <v>63</v>
      </c>
      <c r="F62" s="14"/>
      <c r="G62" s="15">
        <v>7644148</v>
      </c>
      <c r="J62" t="s">
        <v>54</v>
      </c>
      <c r="K62" t="s">
        <v>47</v>
      </c>
      <c r="L62" t="s">
        <v>62</v>
      </c>
      <c r="M62" cm="1">
        <f t="array" ref="M62">SUMPRODUCT(IF($B$2:$B$901&amp;$C$2:$C$901&amp;$E$2:$E$901=J62&amp;K62&amp;L62,$G$2:$G$901*1,))</f>
        <v>19767642</v>
      </c>
    </row>
    <row r="63" spans="1:13" x14ac:dyDescent="0.3">
      <c r="A63" s="16">
        <v>2021</v>
      </c>
      <c r="B63" s="17" t="s">
        <v>40</v>
      </c>
      <c r="C63" s="17" t="s">
        <v>47</v>
      </c>
      <c r="D63" t="s">
        <v>43</v>
      </c>
      <c r="E63" s="17" t="s">
        <v>64</v>
      </c>
      <c r="F63" s="14"/>
      <c r="G63" s="18">
        <v>13058152</v>
      </c>
      <c r="J63" t="s">
        <v>54</v>
      </c>
      <c r="K63" t="s">
        <v>47</v>
      </c>
      <c r="L63" t="s">
        <v>63</v>
      </c>
      <c r="M63" cm="1">
        <f t="array" ref="M63">SUMPRODUCT(IF($B$2:$B$901&amp;$C$2:$C$901&amp;$E$2:$E$901=J63&amp;K63&amp;L63,$G$2:$G$901*1,))</f>
        <v>5112928</v>
      </c>
    </row>
    <row r="64" spans="1:13" x14ac:dyDescent="0.3">
      <c r="A64" s="13">
        <v>2021</v>
      </c>
      <c r="B64" s="14" t="s">
        <v>40</v>
      </c>
      <c r="C64" s="14" t="s">
        <v>47</v>
      </c>
      <c r="D64" t="s">
        <v>43</v>
      </c>
      <c r="E64" s="14" t="s">
        <v>75</v>
      </c>
      <c r="F64" s="14"/>
      <c r="G64" s="15">
        <v>13719965</v>
      </c>
      <c r="J64" t="s">
        <v>54</v>
      </c>
      <c r="K64" t="s">
        <v>47</v>
      </c>
      <c r="L64" t="s">
        <v>64</v>
      </c>
      <c r="M64" cm="1">
        <f t="array" ref="M64">SUMPRODUCT(IF($B$2:$B$901&amp;$C$2:$C$901&amp;$E$2:$E$901=J64&amp;K64&amp;L64,$G$2:$G$901*1,))</f>
        <v>6978273</v>
      </c>
    </row>
    <row r="65" spans="1:13" x14ac:dyDescent="0.3">
      <c r="A65" s="16">
        <v>2021</v>
      </c>
      <c r="B65" s="17" t="s">
        <v>40</v>
      </c>
      <c r="C65" s="17" t="s">
        <v>47</v>
      </c>
      <c r="D65" t="s">
        <v>44</v>
      </c>
      <c r="E65" s="14" t="s">
        <v>61</v>
      </c>
      <c r="F65" s="14"/>
      <c r="G65" s="18">
        <v>9306662</v>
      </c>
      <c r="J65" t="s">
        <v>54</v>
      </c>
      <c r="K65" t="s">
        <v>47</v>
      </c>
      <c r="L65" t="s">
        <v>75</v>
      </c>
      <c r="M65" cm="1">
        <f t="array" ref="M65">SUMPRODUCT(IF($B$2:$B$901&amp;$C$2:$C$901&amp;$E$2:$E$901=J65&amp;K65&amp;L65,$G$2:$G$901*1,))</f>
        <v>7287438</v>
      </c>
    </row>
    <row r="66" spans="1:13" x14ac:dyDescent="0.3">
      <c r="A66" s="13">
        <v>2021</v>
      </c>
      <c r="B66" s="14" t="s">
        <v>40</v>
      </c>
      <c r="C66" s="14" t="s">
        <v>47</v>
      </c>
      <c r="D66" t="s">
        <v>44</v>
      </c>
      <c r="E66" s="17" t="s">
        <v>61</v>
      </c>
      <c r="F66" s="14"/>
      <c r="G66" s="15">
        <v>4111637</v>
      </c>
      <c r="J66" t="s">
        <v>55</v>
      </c>
      <c r="K66" t="s">
        <v>41</v>
      </c>
      <c r="L66" t="s">
        <v>76</v>
      </c>
      <c r="M66" cm="1">
        <f t="array" ref="M66">SUMPRODUCT(IF($B$2:$B$901&amp;$C$2:$C$901&amp;$E$2:$E$901=J66&amp;K66&amp;L66,$G$2:$G$901*1,))</f>
        <v>8113468</v>
      </c>
    </row>
    <row r="67" spans="1:13" x14ac:dyDescent="0.3">
      <c r="A67" s="16">
        <v>2021</v>
      </c>
      <c r="B67" s="17" t="s">
        <v>40</v>
      </c>
      <c r="C67" s="17" t="s">
        <v>47</v>
      </c>
      <c r="D67" t="s">
        <v>44</v>
      </c>
      <c r="E67" s="14" t="s">
        <v>62</v>
      </c>
      <c r="F67" s="14"/>
      <c r="G67" s="18">
        <v>5571566</v>
      </c>
      <c r="J67" t="s">
        <v>55</v>
      </c>
      <c r="K67" t="s">
        <v>41</v>
      </c>
      <c r="L67" t="s">
        <v>77</v>
      </c>
      <c r="M67" cm="1">
        <f t="array" ref="M67">SUMPRODUCT(IF($B$2:$B$901&amp;$C$2:$C$901&amp;$E$2:$E$901=J67&amp;K67&amp;L67,$G$2:$G$901*1,))</f>
        <v>5306264</v>
      </c>
    </row>
    <row r="68" spans="1:13" x14ac:dyDescent="0.3">
      <c r="A68" s="13">
        <v>2021</v>
      </c>
      <c r="B68" s="14" t="s">
        <v>40</v>
      </c>
      <c r="C68" s="14" t="s">
        <v>47</v>
      </c>
      <c r="D68" t="s">
        <v>44</v>
      </c>
      <c r="E68" s="17" t="s">
        <v>62</v>
      </c>
      <c r="F68" s="14"/>
      <c r="G68" s="15">
        <v>6548834</v>
      </c>
      <c r="J68" t="s">
        <v>55</v>
      </c>
      <c r="K68" t="s">
        <v>41</v>
      </c>
      <c r="L68" t="s">
        <v>78</v>
      </c>
      <c r="M68" cm="1">
        <f t="array" ref="M68">SUMPRODUCT(IF($B$2:$B$901&amp;$C$2:$C$901&amp;$E$2:$E$901=J68&amp;K68&amp;L68,$G$2:$G$901*1,))</f>
        <v>1273219</v>
      </c>
    </row>
    <row r="69" spans="1:13" x14ac:dyDescent="0.3">
      <c r="A69" s="16">
        <v>2021</v>
      </c>
      <c r="B69" s="17" t="s">
        <v>40</v>
      </c>
      <c r="C69" s="17" t="s">
        <v>47</v>
      </c>
      <c r="D69" t="s">
        <v>44</v>
      </c>
      <c r="E69" s="14" t="s">
        <v>62</v>
      </c>
      <c r="F69" s="14"/>
      <c r="G69" s="18">
        <v>8583586</v>
      </c>
      <c r="J69" t="s">
        <v>55</v>
      </c>
      <c r="K69" t="s">
        <v>47</v>
      </c>
      <c r="L69" t="s">
        <v>61</v>
      </c>
      <c r="M69" cm="1">
        <f t="array" ref="M69">SUMPRODUCT(IF($B$2:$B$901&amp;$C$2:$C$901&amp;$E$2:$E$901=J69&amp;K69&amp;L69,$G$2:$G$901*1,))</f>
        <v>3256187</v>
      </c>
    </row>
    <row r="70" spans="1:13" x14ac:dyDescent="0.3">
      <c r="A70" s="13">
        <v>2021</v>
      </c>
      <c r="B70" s="14" t="s">
        <v>40</v>
      </c>
      <c r="C70" s="14" t="s">
        <v>47</v>
      </c>
      <c r="D70" t="s">
        <v>44</v>
      </c>
      <c r="E70" s="17" t="s">
        <v>62</v>
      </c>
      <c r="F70" s="14"/>
      <c r="G70" s="15">
        <v>9206586</v>
      </c>
      <c r="J70" t="s">
        <v>55</v>
      </c>
      <c r="K70" t="s">
        <v>47</v>
      </c>
      <c r="L70" t="s">
        <v>62</v>
      </c>
      <c r="M70" cm="1">
        <f t="array" ref="M70">SUMPRODUCT(IF($B$2:$B$901&amp;$C$2:$C$901&amp;$E$2:$E$901=J70&amp;K70&amp;L70,$G$2:$G$901*1,))</f>
        <v>9419280</v>
      </c>
    </row>
    <row r="71" spans="1:13" x14ac:dyDescent="0.3">
      <c r="A71" s="16">
        <v>2021</v>
      </c>
      <c r="B71" s="17" t="s">
        <v>40</v>
      </c>
      <c r="C71" s="17" t="s">
        <v>47</v>
      </c>
      <c r="D71" t="s">
        <v>44</v>
      </c>
      <c r="E71" s="14" t="s">
        <v>63</v>
      </c>
      <c r="F71" s="14"/>
      <c r="G71" s="18">
        <v>8623505</v>
      </c>
      <c r="J71" t="s">
        <v>55</v>
      </c>
      <c r="K71" t="s">
        <v>47</v>
      </c>
      <c r="L71" t="s">
        <v>63</v>
      </c>
      <c r="M71" cm="1">
        <f t="array" ref="M71">SUMPRODUCT(IF($B$2:$B$901&amp;$C$2:$C$901&amp;$E$2:$E$901=J71&amp;K71&amp;L71,$G$2:$G$901*1,))</f>
        <v>2662521</v>
      </c>
    </row>
    <row r="72" spans="1:13" x14ac:dyDescent="0.3">
      <c r="A72" s="13">
        <v>2021</v>
      </c>
      <c r="B72" s="14" t="s">
        <v>40</v>
      </c>
      <c r="C72" s="14" t="s">
        <v>47</v>
      </c>
      <c r="D72" t="s">
        <v>44</v>
      </c>
      <c r="E72" s="17" t="s">
        <v>64</v>
      </c>
      <c r="F72" s="14"/>
      <c r="G72" s="15">
        <v>12106876</v>
      </c>
      <c r="J72" t="s">
        <v>55</v>
      </c>
      <c r="K72" t="s">
        <v>47</v>
      </c>
      <c r="L72" t="s">
        <v>64</v>
      </c>
      <c r="M72" cm="1">
        <f t="array" ref="M72">SUMPRODUCT(IF($B$2:$B$901&amp;$C$2:$C$901&amp;$E$2:$E$901=J72&amp;K72&amp;L72,$G$2:$G$901*1,))</f>
        <v>3387565</v>
      </c>
    </row>
    <row r="73" spans="1:13" x14ac:dyDescent="0.3">
      <c r="A73" s="16">
        <v>2021</v>
      </c>
      <c r="B73" s="17" t="s">
        <v>40</v>
      </c>
      <c r="C73" s="17" t="s">
        <v>47</v>
      </c>
      <c r="D73" t="s">
        <v>44</v>
      </c>
      <c r="E73" s="14" t="s">
        <v>75</v>
      </c>
      <c r="F73" s="14"/>
      <c r="G73" s="18">
        <v>11150382</v>
      </c>
      <c r="J73" t="s">
        <v>55</v>
      </c>
      <c r="K73" t="s">
        <v>47</v>
      </c>
      <c r="L73" t="s">
        <v>75</v>
      </c>
      <c r="M73" cm="1">
        <f t="array" ref="M73">SUMPRODUCT(IF($B$2:$B$901&amp;$C$2:$C$901&amp;$E$2:$E$901=J73&amp;K73&amp;L73,$G$2:$G$901*1,))</f>
        <v>3928180</v>
      </c>
    </row>
    <row r="74" spans="1:13" x14ac:dyDescent="0.3">
      <c r="A74" s="13">
        <v>2021</v>
      </c>
      <c r="B74" s="14" t="s">
        <v>40</v>
      </c>
      <c r="C74" s="14" t="s">
        <v>47</v>
      </c>
      <c r="D74" t="s">
        <v>45</v>
      </c>
      <c r="E74" s="14" t="s">
        <v>61</v>
      </c>
      <c r="F74" s="14"/>
      <c r="G74" s="15">
        <v>13642740</v>
      </c>
      <c r="J74" t="s">
        <v>56</v>
      </c>
      <c r="K74" t="s">
        <v>41</v>
      </c>
      <c r="L74" t="s">
        <v>76</v>
      </c>
      <c r="M74" cm="1">
        <f t="array" ref="M74">SUMPRODUCT(IF($B$2:$B$901&amp;$C$2:$C$901&amp;$E$2:$E$901=J74&amp;K74&amp;L74,$G$2:$G$901*1,))</f>
        <v>31376901</v>
      </c>
    </row>
    <row r="75" spans="1:13" x14ac:dyDescent="0.3">
      <c r="A75" s="16">
        <v>2021</v>
      </c>
      <c r="B75" s="17" t="s">
        <v>40</v>
      </c>
      <c r="C75" s="17" t="s">
        <v>47</v>
      </c>
      <c r="D75" t="s">
        <v>45</v>
      </c>
      <c r="E75" s="17" t="s">
        <v>61</v>
      </c>
      <c r="F75" s="14"/>
      <c r="G75" s="18">
        <v>5521396</v>
      </c>
      <c r="J75" t="s">
        <v>56</v>
      </c>
      <c r="K75" t="s">
        <v>41</v>
      </c>
      <c r="L75" t="s">
        <v>77</v>
      </c>
      <c r="M75" cm="1">
        <f t="array" ref="M75">SUMPRODUCT(IF($B$2:$B$901&amp;$C$2:$C$901&amp;$E$2:$E$901=J75&amp;K75&amp;L75,$G$2:$G$901*1,))</f>
        <v>15707748</v>
      </c>
    </row>
    <row r="76" spans="1:13" x14ac:dyDescent="0.3">
      <c r="A76" s="13">
        <v>2021</v>
      </c>
      <c r="B76" s="14" t="s">
        <v>40</v>
      </c>
      <c r="C76" s="14" t="s">
        <v>47</v>
      </c>
      <c r="D76" t="s">
        <v>45</v>
      </c>
      <c r="E76" s="14" t="s">
        <v>62</v>
      </c>
      <c r="F76" s="14"/>
      <c r="G76" s="15">
        <v>7480690</v>
      </c>
      <c r="J76" t="s">
        <v>56</v>
      </c>
      <c r="K76" t="s">
        <v>41</v>
      </c>
      <c r="L76" t="s">
        <v>78</v>
      </c>
      <c r="M76" cm="1">
        <f t="array" ref="M76">SUMPRODUCT(IF($B$2:$B$901&amp;$C$2:$C$901&amp;$E$2:$E$901=J76&amp;K76&amp;L76,$G$2:$G$901*1,))</f>
        <v>6730723</v>
      </c>
    </row>
    <row r="77" spans="1:13" x14ac:dyDescent="0.3">
      <c r="A77" s="16">
        <v>2021</v>
      </c>
      <c r="B77" s="17" t="s">
        <v>40</v>
      </c>
      <c r="C77" s="17" t="s">
        <v>47</v>
      </c>
      <c r="D77" t="s">
        <v>45</v>
      </c>
      <c r="E77" s="17" t="s">
        <v>62</v>
      </c>
      <c r="F77" s="14"/>
      <c r="G77" s="18">
        <v>10154500</v>
      </c>
      <c r="J77" t="s">
        <v>56</v>
      </c>
      <c r="K77" t="s">
        <v>47</v>
      </c>
      <c r="L77" t="s">
        <v>61</v>
      </c>
      <c r="M77" cm="1">
        <f t="array" ref="M77">SUMPRODUCT(IF($B$2:$B$901&amp;$C$2:$C$901&amp;$E$2:$E$901=J77&amp;K77&amp;L77,$G$2:$G$901*1,))</f>
        <v>29391190</v>
      </c>
    </row>
    <row r="78" spans="1:13" x14ac:dyDescent="0.3">
      <c r="A78" s="13">
        <v>2021</v>
      </c>
      <c r="B78" s="14" t="s">
        <v>40</v>
      </c>
      <c r="C78" s="14" t="s">
        <v>47</v>
      </c>
      <c r="D78" t="s">
        <v>45</v>
      </c>
      <c r="E78" s="14" t="s">
        <v>62</v>
      </c>
      <c r="F78" s="14"/>
      <c r="G78" s="15">
        <v>8054697</v>
      </c>
      <c r="J78" t="s">
        <v>56</v>
      </c>
      <c r="K78" t="s">
        <v>47</v>
      </c>
      <c r="L78" t="s">
        <v>62</v>
      </c>
      <c r="M78" cm="1">
        <f t="array" ref="M78">SUMPRODUCT(IF($B$2:$B$901&amp;$C$2:$C$901&amp;$E$2:$E$901=J78&amp;K78&amp;L78,$G$2:$G$901*1,))</f>
        <v>30719385</v>
      </c>
    </row>
    <row r="79" spans="1:13" x14ac:dyDescent="0.3">
      <c r="A79" s="16">
        <v>2021</v>
      </c>
      <c r="B79" s="17" t="s">
        <v>40</v>
      </c>
      <c r="C79" s="17" t="s">
        <v>47</v>
      </c>
      <c r="D79" t="s">
        <v>45</v>
      </c>
      <c r="E79" s="17" t="s">
        <v>62</v>
      </c>
      <c r="F79" s="14"/>
      <c r="G79" s="18">
        <v>8411845</v>
      </c>
      <c r="J79" t="s">
        <v>56</v>
      </c>
      <c r="K79" t="s">
        <v>47</v>
      </c>
      <c r="L79" t="s">
        <v>63</v>
      </c>
      <c r="M79" cm="1">
        <f t="array" ref="M79">SUMPRODUCT(IF($B$2:$B$901&amp;$C$2:$C$901&amp;$E$2:$E$901=J79&amp;K79&amp;L79,$G$2:$G$901*1,))</f>
        <v>5188280</v>
      </c>
    </row>
    <row r="80" spans="1:13" x14ac:dyDescent="0.3">
      <c r="A80" s="13">
        <v>2021</v>
      </c>
      <c r="B80" s="14" t="s">
        <v>40</v>
      </c>
      <c r="C80" s="14" t="s">
        <v>47</v>
      </c>
      <c r="D80" t="s">
        <v>45</v>
      </c>
      <c r="E80" s="14" t="s">
        <v>63</v>
      </c>
      <c r="F80" s="14"/>
      <c r="G80" s="15">
        <v>8753123</v>
      </c>
      <c r="J80" t="s">
        <v>56</v>
      </c>
      <c r="K80" t="s">
        <v>47</v>
      </c>
      <c r="L80" t="s">
        <v>64</v>
      </c>
      <c r="M80" cm="1">
        <f t="array" ref="M80">SUMPRODUCT(IF($B$2:$B$901&amp;$C$2:$C$901&amp;$E$2:$E$901=J80&amp;K80&amp;L80,$G$2:$G$901*1,))</f>
        <v>7417758</v>
      </c>
    </row>
    <row r="81" spans="1:13" x14ac:dyDescent="0.3">
      <c r="A81" s="16">
        <v>2021</v>
      </c>
      <c r="B81" s="17" t="s">
        <v>40</v>
      </c>
      <c r="C81" s="17" t="s">
        <v>47</v>
      </c>
      <c r="D81" t="s">
        <v>45</v>
      </c>
      <c r="E81" s="17" t="s">
        <v>64</v>
      </c>
      <c r="F81" s="14"/>
      <c r="G81" s="18">
        <v>9117525</v>
      </c>
      <c r="J81" t="s">
        <v>56</v>
      </c>
      <c r="K81" t="s">
        <v>47</v>
      </c>
      <c r="L81" t="s">
        <v>75</v>
      </c>
      <c r="M81" cm="1">
        <f t="array" ref="M81">SUMPRODUCT(IF($B$2:$B$901&amp;$C$2:$C$901&amp;$E$2:$E$901=J81&amp;K81&amp;L81,$G$2:$G$901*1,))</f>
        <v>13297707</v>
      </c>
    </row>
    <row r="82" spans="1:13" x14ac:dyDescent="0.3">
      <c r="A82" s="13">
        <v>2021</v>
      </c>
      <c r="B82" s="14" t="s">
        <v>40</v>
      </c>
      <c r="C82" s="14" t="s">
        <v>47</v>
      </c>
      <c r="D82" t="s">
        <v>45</v>
      </c>
      <c r="E82" s="14" t="s">
        <v>75</v>
      </c>
      <c r="F82" s="14"/>
      <c r="G82" s="15">
        <v>7460378</v>
      </c>
    </row>
    <row r="83" spans="1:13" x14ac:dyDescent="0.3">
      <c r="A83" s="16">
        <v>2021</v>
      </c>
      <c r="B83" s="17" t="s">
        <v>40</v>
      </c>
      <c r="C83" s="17" t="s">
        <v>47</v>
      </c>
      <c r="D83" t="s">
        <v>46</v>
      </c>
      <c r="E83" s="14" t="s">
        <v>61</v>
      </c>
      <c r="F83" s="14"/>
      <c r="G83" s="18">
        <v>21282683</v>
      </c>
    </row>
    <row r="84" spans="1:13" x14ac:dyDescent="0.3">
      <c r="A84" s="13">
        <v>2021</v>
      </c>
      <c r="B84" s="14" t="s">
        <v>40</v>
      </c>
      <c r="C84" s="14" t="s">
        <v>47</v>
      </c>
      <c r="D84" t="s">
        <v>46</v>
      </c>
      <c r="E84" s="17" t="s">
        <v>61</v>
      </c>
      <c r="F84" s="14"/>
      <c r="G84" s="15">
        <v>3068780</v>
      </c>
    </row>
    <row r="85" spans="1:13" x14ac:dyDescent="0.3">
      <c r="A85" s="16">
        <v>2021</v>
      </c>
      <c r="B85" s="17" t="s">
        <v>40</v>
      </c>
      <c r="C85" s="17" t="s">
        <v>47</v>
      </c>
      <c r="D85" t="s">
        <v>46</v>
      </c>
      <c r="E85" s="14" t="s">
        <v>62</v>
      </c>
      <c r="F85" s="14"/>
      <c r="G85" s="18">
        <v>5689324</v>
      </c>
    </row>
    <row r="86" spans="1:13" x14ac:dyDescent="0.3">
      <c r="A86" s="13">
        <v>2021</v>
      </c>
      <c r="B86" s="14" t="s">
        <v>40</v>
      </c>
      <c r="C86" s="14" t="s">
        <v>47</v>
      </c>
      <c r="D86" t="s">
        <v>46</v>
      </c>
      <c r="E86" s="17" t="s">
        <v>62</v>
      </c>
      <c r="F86" s="14"/>
      <c r="G86" s="15">
        <v>11293465</v>
      </c>
    </row>
    <row r="87" spans="1:13" x14ac:dyDescent="0.3">
      <c r="A87" s="16">
        <v>2021</v>
      </c>
      <c r="B87" s="17" t="s">
        <v>40</v>
      </c>
      <c r="C87" s="17" t="s">
        <v>47</v>
      </c>
      <c r="D87" t="s">
        <v>46</v>
      </c>
      <c r="E87" s="14" t="s">
        <v>62</v>
      </c>
      <c r="F87" s="14"/>
      <c r="G87" s="18">
        <v>16136574</v>
      </c>
    </row>
    <row r="88" spans="1:13" x14ac:dyDescent="0.3">
      <c r="A88" s="13">
        <v>2021</v>
      </c>
      <c r="B88" s="14" t="s">
        <v>40</v>
      </c>
      <c r="C88" s="14" t="s">
        <v>47</v>
      </c>
      <c r="D88" t="s">
        <v>46</v>
      </c>
      <c r="E88" s="17" t="s">
        <v>62</v>
      </c>
      <c r="F88" s="14"/>
      <c r="G88" s="15">
        <v>9391856</v>
      </c>
    </row>
    <row r="89" spans="1:13" x14ac:dyDescent="0.3">
      <c r="A89" s="16">
        <v>2021</v>
      </c>
      <c r="B89" s="17" t="s">
        <v>40</v>
      </c>
      <c r="C89" s="17" t="s">
        <v>47</v>
      </c>
      <c r="D89" t="s">
        <v>46</v>
      </c>
      <c r="E89" s="14" t="s">
        <v>63</v>
      </c>
      <c r="F89" s="14"/>
      <c r="G89" s="18">
        <v>7838404</v>
      </c>
    </row>
    <row r="90" spans="1:13" x14ac:dyDescent="0.3">
      <c r="A90" s="13">
        <v>2021</v>
      </c>
      <c r="B90" s="14" t="s">
        <v>40</v>
      </c>
      <c r="C90" s="14" t="s">
        <v>47</v>
      </c>
      <c r="D90" t="s">
        <v>46</v>
      </c>
      <c r="E90" s="17" t="s">
        <v>64</v>
      </c>
      <c r="F90" s="14"/>
      <c r="G90" s="15">
        <v>12858774</v>
      </c>
    </row>
    <row r="91" spans="1:13" x14ac:dyDescent="0.3">
      <c r="A91" s="16">
        <v>2021</v>
      </c>
      <c r="B91" s="17" t="s">
        <v>40</v>
      </c>
      <c r="C91" s="17" t="s">
        <v>47</v>
      </c>
      <c r="D91" t="s">
        <v>46</v>
      </c>
      <c r="E91" s="14" t="s">
        <v>75</v>
      </c>
      <c r="F91" s="14"/>
      <c r="G91" s="18">
        <v>29177200</v>
      </c>
    </row>
    <row r="92" spans="1:13" x14ac:dyDescent="0.3">
      <c r="A92" s="13">
        <v>2021</v>
      </c>
      <c r="B92" s="14" t="s">
        <v>48</v>
      </c>
      <c r="C92" s="14" t="s">
        <v>41</v>
      </c>
      <c r="D92" t="s">
        <v>42</v>
      </c>
      <c r="E92" s="14" t="s">
        <v>76</v>
      </c>
      <c r="F92" s="14"/>
      <c r="G92" s="15">
        <v>41690</v>
      </c>
    </row>
    <row r="93" spans="1:13" x14ac:dyDescent="0.3">
      <c r="A93" s="16">
        <v>2021</v>
      </c>
      <c r="B93" s="17" t="s">
        <v>48</v>
      </c>
      <c r="C93" s="17" t="s">
        <v>41</v>
      </c>
      <c r="D93" t="s">
        <v>42</v>
      </c>
      <c r="E93" s="17" t="s">
        <v>76</v>
      </c>
      <c r="F93" s="14"/>
      <c r="G93" s="18">
        <v>23051</v>
      </c>
    </row>
    <row r="94" spans="1:13" x14ac:dyDescent="0.3">
      <c r="A94" s="13">
        <v>2021</v>
      </c>
      <c r="B94" s="14" t="s">
        <v>48</v>
      </c>
      <c r="C94" s="14" t="s">
        <v>41</v>
      </c>
      <c r="D94" t="s">
        <v>42</v>
      </c>
      <c r="E94" s="14" t="s">
        <v>76</v>
      </c>
      <c r="F94" s="14"/>
      <c r="G94" s="15">
        <v>31931</v>
      </c>
    </row>
    <row r="95" spans="1:13" x14ac:dyDescent="0.3">
      <c r="A95" s="16">
        <v>2021</v>
      </c>
      <c r="B95" s="17" t="s">
        <v>48</v>
      </c>
      <c r="C95" s="17" t="s">
        <v>41</v>
      </c>
      <c r="D95" t="s">
        <v>42</v>
      </c>
      <c r="E95" s="17" t="s">
        <v>76</v>
      </c>
      <c r="F95" s="14"/>
      <c r="G95" s="18">
        <v>35562</v>
      </c>
    </row>
    <row r="96" spans="1:13" x14ac:dyDescent="0.3">
      <c r="A96" s="13">
        <v>2021</v>
      </c>
      <c r="B96" s="14" t="s">
        <v>48</v>
      </c>
      <c r="C96" s="14" t="s">
        <v>41</v>
      </c>
      <c r="D96" t="s">
        <v>42</v>
      </c>
      <c r="E96" s="14" t="s">
        <v>76</v>
      </c>
      <c r="F96" s="14"/>
      <c r="G96" s="15">
        <v>43238</v>
      </c>
    </row>
    <row r="97" spans="1:7" x14ac:dyDescent="0.3">
      <c r="A97" s="16">
        <v>2021</v>
      </c>
      <c r="B97" s="17" t="s">
        <v>48</v>
      </c>
      <c r="C97" s="17" t="s">
        <v>41</v>
      </c>
      <c r="D97" t="s">
        <v>42</v>
      </c>
      <c r="E97" s="17" t="s">
        <v>77</v>
      </c>
      <c r="F97" s="14"/>
      <c r="G97" s="18">
        <v>50451</v>
      </c>
    </row>
    <row r="98" spans="1:7" x14ac:dyDescent="0.3">
      <c r="A98" s="13">
        <v>2021</v>
      </c>
      <c r="B98" s="14" t="s">
        <v>48</v>
      </c>
      <c r="C98" s="14" t="s">
        <v>41</v>
      </c>
      <c r="D98" t="s">
        <v>42</v>
      </c>
      <c r="E98" s="14" t="s">
        <v>77</v>
      </c>
      <c r="F98" s="14"/>
      <c r="G98" s="15">
        <v>31773</v>
      </c>
    </row>
    <row r="99" spans="1:7" x14ac:dyDescent="0.3">
      <c r="A99" s="16">
        <v>2021</v>
      </c>
      <c r="B99" s="17" t="s">
        <v>48</v>
      </c>
      <c r="C99" s="17" t="s">
        <v>41</v>
      </c>
      <c r="D99" t="s">
        <v>42</v>
      </c>
      <c r="E99" s="17" t="s">
        <v>77</v>
      </c>
      <c r="F99" s="14"/>
      <c r="G99" s="18">
        <v>36694</v>
      </c>
    </row>
    <row r="100" spans="1:7" x14ac:dyDescent="0.3">
      <c r="A100" s="13">
        <v>2021</v>
      </c>
      <c r="B100" s="14" t="s">
        <v>48</v>
      </c>
      <c r="C100" s="14" t="s">
        <v>41</v>
      </c>
      <c r="D100" t="s">
        <v>42</v>
      </c>
      <c r="E100" s="14" t="s">
        <v>78</v>
      </c>
      <c r="F100" s="14"/>
      <c r="G100" s="15">
        <v>30073</v>
      </c>
    </row>
    <row r="101" spans="1:7" x14ac:dyDescent="0.3">
      <c r="A101" s="16">
        <v>2021</v>
      </c>
      <c r="B101" s="17" t="s">
        <v>48</v>
      </c>
      <c r="C101" s="17" t="s">
        <v>41</v>
      </c>
      <c r="D101" t="s">
        <v>43</v>
      </c>
      <c r="E101" s="14" t="s">
        <v>76</v>
      </c>
      <c r="F101" s="14"/>
      <c r="G101" s="18">
        <v>51378</v>
      </c>
    </row>
    <row r="102" spans="1:7" x14ac:dyDescent="0.3">
      <c r="A102" s="13">
        <v>2021</v>
      </c>
      <c r="B102" s="14" t="s">
        <v>48</v>
      </c>
      <c r="C102" s="14" t="s">
        <v>41</v>
      </c>
      <c r="D102" t="s">
        <v>43</v>
      </c>
      <c r="E102" s="17" t="s">
        <v>76</v>
      </c>
      <c r="F102" s="14"/>
      <c r="G102" s="15">
        <v>28991</v>
      </c>
    </row>
    <row r="103" spans="1:7" x14ac:dyDescent="0.3">
      <c r="A103" s="16">
        <v>2021</v>
      </c>
      <c r="B103" s="17" t="s">
        <v>48</v>
      </c>
      <c r="C103" s="17" t="s">
        <v>41</v>
      </c>
      <c r="D103" t="s">
        <v>43</v>
      </c>
      <c r="E103" s="14" t="s">
        <v>76</v>
      </c>
      <c r="F103" s="14"/>
      <c r="G103" s="18">
        <v>41486</v>
      </c>
    </row>
    <row r="104" spans="1:7" x14ac:dyDescent="0.3">
      <c r="A104" s="13">
        <v>2021</v>
      </c>
      <c r="B104" s="14" t="s">
        <v>48</v>
      </c>
      <c r="C104" s="14" t="s">
        <v>41</v>
      </c>
      <c r="D104" t="s">
        <v>43</v>
      </c>
      <c r="E104" s="17" t="s">
        <v>76</v>
      </c>
      <c r="F104" s="14"/>
      <c r="G104" s="15">
        <v>48942</v>
      </c>
    </row>
    <row r="105" spans="1:7" x14ac:dyDescent="0.3">
      <c r="A105" s="16">
        <v>2021</v>
      </c>
      <c r="B105" s="17" t="s">
        <v>48</v>
      </c>
      <c r="C105" s="17" t="s">
        <v>41</v>
      </c>
      <c r="D105" t="s">
        <v>43</v>
      </c>
      <c r="E105" s="14" t="s">
        <v>76</v>
      </c>
      <c r="F105" s="14"/>
      <c r="G105" s="18">
        <v>56216</v>
      </c>
    </row>
    <row r="106" spans="1:7" x14ac:dyDescent="0.3">
      <c r="A106" s="13">
        <v>2021</v>
      </c>
      <c r="B106" s="14" t="s">
        <v>48</v>
      </c>
      <c r="C106" s="14" t="s">
        <v>41</v>
      </c>
      <c r="D106" t="s">
        <v>43</v>
      </c>
      <c r="E106" s="17" t="s">
        <v>77</v>
      </c>
      <c r="F106" s="14"/>
      <c r="G106" s="15">
        <v>50362</v>
      </c>
    </row>
    <row r="107" spans="1:7" x14ac:dyDescent="0.3">
      <c r="A107" s="16">
        <v>2021</v>
      </c>
      <c r="B107" s="17" t="s">
        <v>48</v>
      </c>
      <c r="C107" s="17" t="s">
        <v>41</v>
      </c>
      <c r="D107" t="s">
        <v>43</v>
      </c>
      <c r="E107" s="14" t="s">
        <v>77</v>
      </c>
      <c r="F107" s="14"/>
      <c r="G107" s="18">
        <v>38893</v>
      </c>
    </row>
    <row r="108" spans="1:7" x14ac:dyDescent="0.3">
      <c r="A108" s="13">
        <v>2021</v>
      </c>
      <c r="B108" s="14" t="s">
        <v>48</v>
      </c>
      <c r="C108" s="14" t="s">
        <v>41</v>
      </c>
      <c r="D108" t="s">
        <v>43</v>
      </c>
      <c r="E108" s="17" t="s">
        <v>77</v>
      </c>
      <c r="F108" s="14"/>
      <c r="G108" s="15">
        <v>47947</v>
      </c>
    </row>
    <row r="109" spans="1:7" x14ac:dyDescent="0.3">
      <c r="A109" s="16">
        <v>2021</v>
      </c>
      <c r="B109" s="17" t="s">
        <v>48</v>
      </c>
      <c r="C109" s="17" t="s">
        <v>41</v>
      </c>
      <c r="D109" t="s">
        <v>43</v>
      </c>
      <c r="E109" s="14" t="s">
        <v>78</v>
      </c>
      <c r="F109" s="14"/>
      <c r="G109" s="18">
        <v>24523</v>
      </c>
    </row>
    <row r="110" spans="1:7" x14ac:dyDescent="0.3">
      <c r="A110" s="13">
        <v>2021</v>
      </c>
      <c r="B110" s="14" t="s">
        <v>48</v>
      </c>
      <c r="C110" s="14" t="s">
        <v>41</v>
      </c>
      <c r="D110" t="s">
        <v>44</v>
      </c>
      <c r="E110" s="14" t="s">
        <v>76</v>
      </c>
      <c r="F110" s="14"/>
      <c r="G110" s="15">
        <v>121947</v>
      </c>
    </row>
    <row r="111" spans="1:7" x14ac:dyDescent="0.3">
      <c r="A111" s="16">
        <v>2021</v>
      </c>
      <c r="B111" s="17" t="s">
        <v>48</v>
      </c>
      <c r="C111" s="17" t="s">
        <v>41</v>
      </c>
      <c r="D111" t="s">
        <v>44</v>
      </c>
      <c r="E111" s="17" t="s">
        <v>76</v>
      </c>
      <c r="F111" s="14"/>
      <c r="G111" s="18">
        <v>64762</v>
      </c>
    </row>
    <row r="112" spans="1:7" x14ac:dyDescent="0.3">
      <c r="A112" s="13">
        <v>2021</v>
      </c>
      <c r="B112" s="14" t="s">
        <v>48</v>
      </c>
      <c r="C112" s="14" t="s">
        <v>41</v>
      </c>
      <c r="D112" t="s">
        <v>44</v>
      </c>
      <c r="E112" s="14" t="s">
        <v>76</v>
      </c>
      <c r="F112" s="14"/>
      <c r="G112" s="15">
        <v>104679</v>
      </c>
    </row>
    <row r="113" spans="1:7" x14ac:dyDescent="0.3">
      <c r="A113" s="16">
        <v>2021</v>
      </c>
      <c r="B113" s="17" t="s">
        <v>48</v>
      </c>
      <c r="C113" s="17" t="s">
        <v>41</v>
      </c>
      <c r="D113" t="s">
        <v>44</v>
      </c>
      <c r="E113" s="17" t="s">
        <v>76</v>
      </c>
      <c r="F113" s="14"/>
      <c r="G113" s="18">
        <v>143062</v>
      </c>
    </row>
    <row r="114" spans="1:7" x14ac:dyDescent="0.3">
      <c r="A114" s="13">
        <v>2021</v>
      </c>
      <c r="B114" s="14" t="s">
        <v>48</v>
      </c>
      <c r="C114" s="14" t="s">
        <v>41</v>
      </c>
      <c r="D114" t="s">
        <v>44</v>
      </c>
      <c r="E114" s="14" t="s">
        <v>76</v>
      </c>
      <c r="F114" s="14"/>
      <c r="G114" s="15">
        <v>189947</v>
      </c>
    </row>
    <row r="115" spans="1:7" x14ac:dyDescent="0.3">
      <c r="A115" s="16">
        <v>2021</v>
      </c>
      <c r="B115" s="17" t="s">
        <v>48</v>
      </c>
      <c r="C115" s="17" t="s">
        <v>41</v>
      </c>
      <c r="D115" t="s">
        <v>44</v>
      </c>
      <c r="E115" s="17" t="s">
        <v>77</v>
      </c>
      <c r="F115" s="14"/>
      <c r="G115" s="18">
        <v>134338</v>
      </c>
    </row>
    <row r="116" spans="1:7" x14ac:dyDescent="0.3">
      <c r="A116" s="13">
        <v>2021</v>
      </c>
      <c r="B116" s="14" t="s">
        <v>48</v>
      </c>
      <c r="C116" s="14" t="s">
        <v>41</v>
      </c>
      <c r="D116" t="s">
        <v>44</v>
      </c>
      <c r="E116" s="14" t="s">
        <v>77</v>
      </c>
      <c r="F116" s="14"/>
      <c r="G116" s="15">
        <v>131533</v>
      </c>
    </row>
    <row r="117" spans="1:7" x14ac:dyDescent="0.3">
      <c r="A117" s="16">
        <v>2021</v>
      </c>
      <c r="B117" s="17" t="s">
        <v>48</v>
      </c>
      <c r="C117" s="17" t="s">
        <v>41</v>
      </c>
      <c r="D117" t="s">
        <v>44</v>
      </c>
      <c r="E117" s="17" t="s">
        <v>77</v>
      </c>
      <c r="F117" s="14"/>
      <c r="G117" s="18">
        <v>132372</v>
      </c>
    </row>
    <row r="118" spans="1:7" x14ac:dyDescent="0.3">
      <c r="A118" s="13">
        <v>2021</v>
      </c>
      <c r="B118" s="14" t="s">
        <v>48</v>
      </c>
      <c r="C118" s="14" t="s">
        <v>41</v>
      </c>
      <c r="D118" t="s">
        <v>44</v>
      </c>
      <c r="E118" s="14" t="s">
        <v>78</v>
      </c>
      <c r="F118" s="14"/>
      <c r="G118" s="15">
        <v>64518</v>
      </c>
    </row>
    <row r="119" spans="1:7" x14ac:dyDescent="0.3">
      <c r="A119" s="16">
        <v>2021</v>
      </c>
      <c r="B119" s="17" t="s">
        <v>48</v>
      </c>
      <c r="C119" s="17" t="s">
        <v>41</v>
      </c>
      <c r="D119" t="s">
        <v>45</v>
      </c>
      <c r="E119" s="14" t="s">
        <v>76</v>
      </c>
      <c r="F119" s="14"/>
      <c r="G119" s="18">
        <v>195854</v>
      </c>
    </row>
    <row r="120" spans="1:7" x14ac:dyDescent="0.3">
      <c r="A120" s="13">
        <v>2021</v>
      </c>
      <c r="B120" s="14" t="s">
        <v>48</v>
      </c>
      <c r="C120" s="14" t="s">
        <v>41</v>
      </c>
      <c r="D120" t="s">
        <v>45</v>
      </c>
      <c r="E120" s="17" t="s">
        <v>76</v>
      </c>
      <c r="F120" s="14"/>
      <c r="G120" s="15">
        <v>122313</v>
      </c>
    </row>
    <row r="121" spans="1:7" x14ac:dyDescent="0.3">
      <c r="A121" s="16">
        <v>2021</v>
      </c>
      <c r="B121" s="17" t="s">
        <v>48</v>
      </c>
      <c r="C121" s="17" t="s">
        <v>41</v>
      </c>
      <c r="D121" t="s">
        <v>45</v>
      </c>
      <c r="E121" s="14" t="s">
        <v>76</v>
      </c>
      <c r="F121" s="14"/>
      <c r="G121" s="18">
        <v>219248</v>
      </c>
    </row>
    <row r="122" spans="1:7" x14ac:dyDescent="0.3">
      <c r="A122" s="13">
        <v>2021</v>
      </c>
      <c r="B122" s="14" t="s">
        <v>48</v>
      </c>
      <c r="C122" s="14" t="s">
        <v>41</v>
      </c>
      <c r="D122" t="s">
        <v>45</v>
      </c>
      <c r="E122" s="17" t="s">
        <v>76</v>
      </c>
      <c r="F122" s="14"/>
      <c r="G122" s="15">
        <v>308401</v>
      </c>
    </row>
    <row r="123" spans="1:7" x14ac:dyDescent="0.3">
      <c r="A123" s="16">
        <v>2021</v>
      </c>
      <c r="B123" s="17" t="s">
        <v>48</v>
      </c>
      <c r="C123" s="17" t="s">
        <v>41</v>
      </c>
      <c r="D123" t="s">
        <v>45</v>
      </c>
      <c r="E123" s="14" t="s">
        <v>76</v>
      </c>
      <c r="F123" s="14"/>
      <c r="G123" s="18">
        <v>354392</v>
      </c>
    </row>
    <row r="124" spans="1:7" x14ac:dyDescent="0.3">
      <c r="A124" s="13">
        <v>2021</v>
      </c>
      <c r="B124" s="14" t="s">
        <v>48</v>
      </c>
      <c r="C124" s="14" t="s">
        <v>41</v>
      </c>
      <c r="D124" t="s">
        <v>45</v>
      </c>
      <c r="E124" s="17" t="s">
        <v>77</v>
      </c>
      <c r="F124" s="14"/>
      <c r="G124" s="15">
        <v>340468</v>
      </c>
    </row>
    <row r="125" spans="1:7" x14ac:dyDescent="0.3">
      <c r="A125" s="16">
        <v>2021</v>
      </c>
      <c r="B125" s="17" t="s">
        <v>48</v>
      </c>
      <c r="C125" s="17" t="s">
        <v>41</v>
      </c>
      <c r="D125" t="s">
        <v>45</v>
      </c>
      <c r="E125" s="14" t="s">
        <v>77</v>
      </c>
      <c r="F125" s="14"/>
      <c r="G125" s="18">
        <v>249559</v>
      </c>
    </row>
    <row r="126" spans="1:7" x14ac:dyDescent="0.3">
      <c r="A126" s="13">
        <v>2021</v>
      </c>
      <c r="B126" s="14" t="s">
        <v>48</v>
      </c>
      <c r="C126" s="14" t="s">
        <v>41</v>
      </c>
      <c r="D126" t="s">
        <v>45</v>
      </c>
      <c r="E126" s="17" t="s">
        <v>77</v>
      </c>
      <c r="F126" s="14"/>
      <c r="G126" s="15">
        <v>285985</v>
      </c>
    </row>
    <row r="127" spans="1:7" x14ac:dyDescent="0.3">
      <c r="A127" s="16">
        <v>2021</v>
      </c>
      <c r="B127" s="17" t="s">
        <v>48</v>
      </c>
      <c r="C127" s="17" t="s">
        <v>41</v>
      </c>
      <c r="D127" t="s">
        <v>45</v>
      </c>
      <c r="E127" s="14" t="s">
        <v>78</v>
      </c>
      <c r="F127" s="14"/>
      <c r="G127" s="18">
        <v>136797</v>
      </c>
    </row>
    <row r="128" spans="1:7" x14ac:dyDescent="0.3">
      <c r="A128" s="13">
        <v>2021</v>
      </c>
      <c r="B128" s="14" t="s">
        <v>48</v>
      </c>
      <c r="C128" s="14" t="s">
        <v>41</v>
      </c>
      <c r="D128" t="s">
        <v>46</v>
      </c>
      <c r="E128" s="14" t="s">
        <v>76</v>
      </c>
      <c r="F128" s="14"/>
      <c r="G128" s="15">
        <v>501412</v>
      </c>
    </row>
    <row r="129" spans="1:7" x14ac:dyDescent="0.3">
      <c r="A129" s="16">
        <v>2021</v>
      </c>
      <c r="B129" s="17" t="s">
        <v>48</v>
      </c>
      <c r="C129" s="17" t="s">
        <v>41</v>
      </c>
      <c r="D129" t="s">
        <v>46</v>
      </c>
      <c r="E129" s="17" t="s">
        <v>76</v>
      </c>
      <c r="F129" s="14"/>
      <c r="G129" s="18">
        <v>178427</v>
      </c>
    </row>
    <row r="130" spans="1:7" x14ac:dyDescent="0.3">
      <c r="A130" s="13">
        <v>2021</v>
      </c>
      <c r="B130" s="14" t="s">
        <v>48</v>
      </c>
      <c r="C130" s="14" t="s">
        <v>41</v>
      </c>
      <c r="D130" t="s">
        <v>46</v>
      </c>
      <c r="E130" s="14" t="s">
        <v>76</v>
      </c>
      <c r="F130" s="14"/>
      <c r="G130" s="15">
        <v>359896</v>
      </c>
    </row>
    <row r="131" spans="1:7" x14ac:dyDescent="0.3">
      <c r="A131" s="16">
        <v>2021</v>
      </c>
      <c r="B131" s="17" t="s">
        <v>48</v>
      </c>
      <c r="C131" s="17" t="s">
        <v>41</v>
      </c>
      <c r="D131" t="s">
        <v>46</v>
      </c>
      <c r="E131" s="17" t="s">
        <v>76</v>
      </c>
      <c r="F131" s="14"/>
      <c r="G131" s="18">
        <v>765742</v>
      </c>
    </row>
    <row r="132" spans="1:7" x14ac:dyDescent="0.3">
      <c r="A132" s="13">
        <v>2021</v>
      </c>
      <c r="B132" s="14" t="s">
        <v>48</v>
      </c>
      <c r="C132" s="14" t="s">
        <v>41</v>
      </c>
      <c r="D132" t="s">
        <v>46</v>
      </c>
      <c r="E132" s="14" t="s">
        <v>76</v>
      </c>
      <c r="F132" s="14"/>
      <c r="G132" s="15">
        <v>1100526</v>
      </c>
    </row>
    <row r="133" spans="1:7" x14ac:dyDescent="0.3">
      <c r="A133" s="16">
        <v>2021</v>
      </c>
      <c r="B133" s="17" t="s">
        <v>48</v>
      </c>
      <c r="C133" s="17" t="s">
        <v>41</v>
      </c>
      <c r="D133" t="s">
        <v>46</v>
      </c>
      <c r="E133" s="17" t="s">
        <v>77</v>
      </c>
      <c r="F133" s="14"/>
      <c r="G133" s="18">
        <v>1043554</v>
      </c>
    </row>
    <row r="134" spans="1:7" x14ac:dyDescent="0.3">
      <c r="A134" s="13">
        <v>2021</v>
      </c>
      <c r="B134" s="14" t="s">
        <v>48</v>
      </c>
      <c r="C134" s="14" t="s">
        <v>41</v>
      </c>
      <c r="D134" t="s">
        <v>46</v>
      </c>
      <c r="E134" s="14" t="s">
        <v>77</v>
      </c>
      <c r="F134" s="14"/>
      <c r="G134" s="15">
        <v>750724</v>
      </c>
    </row>
    <row r="135" spans="1:7" x14ac:dyDescent="0.3">
      <c r="A135" s="16">
        <v>2021</v>
      </c>
      <c r="B135" s="17" t="s">
        <v>48</v>
      </c>
      <c r="C135" s="17" t="s">
        <v>41</v>
      </c>
      <c r="D135" t="s">
        <v>46</v>
      </c>
      <c r="E135" s="17" t="s">
        <v>77</v>
      </c>
      <c r="F135" s="14"/>
      <c r="G135" s="18">
        <v>975264</v>
      </c>
    </row>
    <row r="136" spans="1:7" x14ac:dyDescent="0.3">
      <c r="A136" s="13">
        <v>2021</v>
      </c>
      <c r="B136" s="14" t="s">
        <v>48</v>
      </c>
      <c r="C136" s="14" t="s">
        <v>41</v>
      </c>
      <c r="D136" t="s">
        <v>46</v>
      </c>
      <c r="E136" s="14" t="s">
        <v>78</v>
      </c>
      <c r="F136" s="14"/>
      <c r="G136" s="15">
        <v>677247</v>
      </c>
    </row>
    <row r="137" spans="1:7" x14ac:dyDescent="0.3">
      <c r="A137" s="16">
        <v>2021</v>
      </c>
      <c r="B137" s="17" t="s">
        <v>48</v>
      </c>
      <c r="C137" s="17" t="s">
        <v>47</v>
      </c>
      <c r="D137" t="s">
        <v>42</v>
      </c>
      <c r="E137" s="14" t="s">
        <v>61</v>
      </c>
      <c r="F137" s="14"/>
      <c r="G137" s="18">
        <v>829110</v>
      </c>
    </row>
    <row r="138" spans="1:7" x14ac:dyDescent="0.3">
      <c r="A138" s="13">
        <v>2021</v>
      </c>
      <c r="B138" s="14" t="s">
        <v>48</v>
      </c>
      <c r="C138" s="14" t="s">
        <v>47</v>
      </c>
      <c r="D138" t="s">
        <v>42</v>
      </c>
      <c r="E138" s="17" t="s">
        <v>61</v>
      </c>
      <c r="F138" s="14"/>
      <c r="G138" s="15">
        <v>744753</v>
      </c>
    </row>
    <row r="139" spans="1:7" x14ac:dyDescent="0.3">
      <c r="A139" s="16">
        <v>2021</v>
      </c>
      <c r="B139" s="17" t="s">
        <v>48</v>
      </c>
      <c r="C139" s="17" t="s">
        <v>47</v>
      </c>
      <c r="D139" t="s">
        <v>42</v>
      </c>
      <c r="E139" s="14" t="s">
        <v>62</v>
      </c>
      <c r="F139" s="14"/>
      <c r="G139" s="18">
        <v>1310680</v>
      </c>
    </row>
    <row r="140" spans="1:7" x14ac:dyDescent="0.3">
      <c r="A140" s="13">
        <v>2021</v>
      </c>
      <c r="B140" s="14" t="s">
        <v>48</v>
      </c>
      <c r="C140" s="14" t="s">
        <v>47</v>
      </c>
      <c r="D140" t="s">
        <v>42</v>
      </c>
      <c r="E140" s="17" t="s">
        <v>62</v>
      </c>
      <c r="F140" s="14"/>
      <c r="G140" s="15">
        <v>1535401</v>
      </c>
    </row>
    <row r="141" spans="1:7" x14ac:dyDescent="0.3">
      <c r="A141" s="16">
        <v>2021</v>
      </c>
      <c r="B141" s="17" t="s">
        <v>48</v>
      </c>
      <c r="C141" s="17" t="s">
        <v>47</v>
      </c>
      <c r="D141" t="s">
        <v>42</v>
      </c>
      <c r="E141" s="14" t="s">
        <v>62</v>
      </c>
      <c r="F141" s="14"/>
      <c r="G141" s="18">
        <v>2001685</v>
      </c>
    </row>
    <row r="142" spans="1:7" x14ac:dyDescent="0.3">
      <c r="A142" s="13">
        <v>2021</v>
      </c>
      <c r="B142" s="14" t="s">
        <v>48</v>
      </c>
      <c r="C142" s="14" t="s">
        <v>47</v>
      </c>
      <c r="D142" t="s">
        <v>42</v>
      </c>
      <c r="E142" s="17" t="s">
        <v>62</v>
      </c>
      <c r="F142" s="14"/>
      <c r="G142" s="15">
        <v>1616477</v>
      </c>
    </row>
    <row r="143" spans="1:7" x14ac:dyDescent="0.3">
      <c r="A143" s="16">
        <v>2021</v>
      </c>
      <c r="B143" s="17" t="s">
        <v>48</v>
      </c>
      <c r="C143" s="17" t="s">
        <v>47</v>
      </c>
      <c r="D143" t="s">
        <v>42</v>
      </c>
      <c r="E143" s="14" t="s">
        <v>63</v>
      </c>
      <c r="F143" s="14"/>
      <c r="G143" s="18">
        <v>1195648</v>
      </c>
    </row>
    <row r="144" spans="1:7" x14ac:dyDescent="0.3">
      <c r="A144" s="13">
        <v>2021</v>
      </c>
      <c r="B144" s="14" t="s">
        <v>48</v>
      </c>
      <c r="C144" s="14" t="s">
        <v>47</v>
      </c>
      <c r="D144" t="s">
        <v>42</v>
      </c>
      <c r="E144" s="17" t="s">
        <v>64</v>
      </c>
      <c r="F144" s="14"/>
      <c r="G144" s="15">
        <v>1035131</v>
      </c>
    </row>
    <row r="145" spans="1:7" x14ac:dyDescent="0.3">
      <c r="A145" s="16">
        <v>2021</v>
      </c>
      <c r="B145" s="17" t="s">
        <v>48</v>
      </c>
      <c r="C145" s="17" t="s">
        <v>47</v>
      </c>
      <c r="D145" t="s">
        <v>42</v>
      </c>
      <c r="E145" s="14" t="s">
        <v>75</v>
      </c>
      <c r="F145" s="14"/>
      <c r="G145" s="18">
        <v>717248</v>
      </c>
    </row>
    <row r="146" spans="1:7" x14ac:dyDescent="0.3">
      <c r="A146" s="13">
        <v>2021</v>
      </c>
      <c r="B146" s="14" t="s">
        <v>48</v>
      </c>
      <c r="C146" s="14" t="s">
        <v>47</v>
      </c>
      <c r="D146" t="s">
        <v>43</v>
      </c>
      <c r="E146" s="14" t="s">
        <v>61</v>
      </c>
      <c r="F146" s="14"/>
      <c r="G146" s="15">
        <v>136665</v>
      </c>
    </row>
    <row r="147" spans="1:7" x14ac:dyDescent="0.3">
      <c r="A147" s="16">
        <v>2021</v>
      </c>
      <c r="B147" s="17" t="s">
        <v>48</v>
      </c>
      <c r="C147" s="17" t="s">
        <v>47</v>
      </c>
      <c r="D147" t="s">
        <v>43</v>
      </c>
      <c r="E147" s="17" t="s">
        <v>61</v>
      </c>
      <c r="F147" s="14"/>
      <c r="G147" s="18">
        <v>124313</v>
      </c>
    </row>
    <row r="148" spans="1:7" x14ac:dyDescent="0.3">
      <c r="A148" s="13">
        <v>2021</v>
      </c>
      <c r="B148" s="14" t="s">
        <v>48</v>
      </c>
      <c r="C148" s="14" t="s">
        <v>47</v>
      </c>
      <c r="D148" t="s">
        <v>43</v>
      </c>
      <c r="E148" s="14" t="s">
        <v>62</v>
      </c>
      <c r="F148" s="14"/>
      <c r="G148" s="15">
        <v>247535</v>
      </c>
    </row>
    <row r="149" spans="1:7" x14ac:dyDescent="0.3">
      <c r="A149" s="16">
        <v>2021</v>
      </c>
      <c r="B149" s="17" t="s">
        <v>48</v>
      </c>
      <c r="C149" s="17" t="s">
        <v>47</v>
      </c>
      <c r="D149" t="s">
        <v>43</v>
      </c>
      <c r="E149" s="17" t="s">
        <v>62</v>
      </c>
      <c r="F149" s="14"/>
      <c r="G149" s="18">
        <v>436803</v>
      </c>
    </row>
    <row r="150" spans="1:7" x14ac:dyDescent="0.3">
      <c r="A150" s="13">
        <v>2021</v>
      </c>
      <c r="B150" s="14" t="s">
        <v>48</v>
      </c>
      <c r="C150" s="14" t="s">
        <v>47</v>
      </c>
      <c r="D150" t="s">
        <v>43</v>
      </c>
      <c r="E150" s="14" t="s">
        <v>62</v>
      </c>
      <c r="F150" s="14"/>
      <c r="G150" s="15">
        <v>621770</v>
      </c>
    </row>
    <row r="151" spans="1:7" x14ac:dyDescent="0.3">
      <c r="A151" s="16">
        <v>2021</v>
      </c>
      <c r="B151" s="17" t="s">
        <v>48</v>
      </c>
      <c r="C151" s="17" t="s">
        <v>47</v>
      </c>
      <c r="D151" t="s">
        <v>43</v>
      </c>
      <c r="E151" s="17" t="s">
        <v>62</v>
      </c>
      <c r="F151" s="14"/>
      <c r="G151" s="18">
        <v>415324</v>
      </c>
    </row>
    <row r="152" spans="1:7" x14ac:dyDescent="0.3">
      <c r="A152" s="13">
        <v>2021</v>
      </c>
      <c r="B152" s="14" t="s">
        <v>48</v>
      </c>
      <c r="C152" s="14" t="s">
        <v>47</v>
      </c>
      <c r="D152" t="s">
        <v>43</v>
      </c>
      <c r="E152" s="14" t="s">
        <v>63</v>
      </c>
      <c r="F152" s="14"/>
      <c r="G152" s="15">
        <v>277012</v>
      </c>
    </row>
    <row r="153" spans="1:7" x14ac:dyDescent="0.3">
      <c r="A153" s="16">
        <v>2021</v>
      </c>
      <c r="B153" s="17" t="s">
        <v>48</v>
      </c>
      <c r="C153" s="17" t="s">
        <v>47</v>
      </c>
      <c r="D153" t="s">
        <v>43</v>
      </c>
      <c r="E153" s="17" t="s">
        <v>64</v>
      </c>
      <c r="F153" s="14"/>
      <c r="G153" s="18">
        <v>617533</v>
      </c>
    </row>
    <row r="154" spans="1:7" x14ac:dyDescent="0.3">
      <c r="A154" s="13">
        <v>2021</v>
      </c>
      <c r="B154" s="14" t="s">
        <v>48</v>
      </c>
      <c r="C154" s="14" t="s">
        <v>47</v>
      </c>
      <c r="D154" t="s">
        <v>43</v>
      </c>
      <c r="E154" s="14" t="s">
        <v>75</v>
      </c>
      <c r="F154" s="14"/>
      <c r="G154" s="15">
        <v>708811</v>
      </c>
    </row>
    <row r="155" spans="1:7" x14ac:dyDescent="0.3">
      <c r="A155" s="16">
        <v>2021</v>
      </c>
      <c r="B155" s="17" t="s">
        <v>48</v>
      </c>
      <c r="C155" s="17" t="s">
        <v>47</v>
      </c>
      <c r="D155" t="s">
        <v>44</v>
      </c>
      <c r="E155" s="14" t="s">
        <v>61</v>
      </c>
      <c r="F155" s="14"/>
      <c r="G155" s="18">
        <v>90456</v>
      </c>
    </row>
    <row r="156" spans="1:7" x14ac:dyDescent="0.3">
      <c r="A156" s="13">
        <v>2021</v>
      </c>
      <c r="B156" s="14" t="s">
        <v>48</v>
      </c>
      <c r="C156" s="14" t="s">
        <v>47</v>
      </c>
      <c r="D156" t="s">
        <v>44</v>
      </c>
      <c r="E156" s="17" t="s">
        <v>61</v>
      </c>
      <c r="F156" s="14"/>
      <c r="G156" s="15">
        <v>76968</v>
      </c>
    </row>
    <row r="157" spans="1:7" x14ac:dyDescent="0.3">
      <c r="A157" s="16">
        <v>2021</v>
      </c>
      <c r="B157" s="17" t="s">
        <v>48</v>
      </c>
      <c r="C157" s="17" t="s">
        <v>47</v>
      </c>
      <c r="D157" t="s">
        <v>44</v>
      </c>
      <c r="E157" s="14" t="s">
        <v>62</v>
      </c>
      <c r="F157" s="14"/>
      <c r="G157" s="18">
        <v>100602</v>
      </c>
    </row>
    <row r="158" spans="1:7" x14ac:dyDescent="0.3">
      <c r="A158" s="13">
        <v>2021</v>
      </c>
      <c r="B158" s="14" t="s">
        <v>48</v>
      </c>
      <c r="C158" s="14" t="s">
        <v>47</v>
      </c>
      <c r="D158" t="s">
        <v>44</v>
      </c>
      <c r="E158" s="17" t="s">
        <v>62</v>
      </c>
      <c r="F158" s="14"/>
      <c r="G158" s="15">
        <v>215547</v>
      </c>
    </row>
    <row r="159" spans="1:7" x14ac:dyDescent="0.3">
      <c r="A159" s="16">
        <v>2021</v>
      </c>
      <c r="B159" s="17" t="s">
        <v>48</v>
      </c>
      <c r="C159" s="17" t="s">
        <v>47</v>
      </c>
      <c r="D159" t="s">
        <v>44</v>
      </c>
      <c r="E159" s="14" t="s">
        <v>62</v>
      </c>
      <c r="F159" s="14"/>
      <c r="G159" s="18">
        <v>302320</v>
      </c>
    </row>
    <row r="160" spans="1:7" x14ac:dyDescent="0.3">
      <c r="A160" s="13">
        <v>2021</v>
      </c>
      <c r="B160" s="14" t="s">
        <v>48</v>
      </c>
      <c r="C160" s="14" t="s">
        <v>47</v>
      </c>
      <c r="D160" t="s">
        <v>44</v>
      </c>
      <c r="E160" s="17" t="s">
        <v>62</v>
      </c>
      <c r="F160" s="14"/>
      <c r="G160" s="15">
        <v>271460</v>
      </c>
    </row>
    <row r="161" spans="1:7" x14ac:dyDescent="0.3">
      <c r="A161" s="16">
        <v>2021</v>
      </c>
      <c r="B161" s="17" t="s">
        <v>48</v>
      </c>
      <c r="C161" s="17" t="s">
        <v>47</v>
      </c>
      <c r="D161" t="s">
        <v>44</v>
      </c>
      <c r="E161" s="14" t="s">
        <v>63</v>
      </c>
      <c r="F161" s="14"/>
      <c r="G161" s="18">
        <v>223747</v>
      </c>
    </row>
    <row r="162" spans="1:7" x14ac:dyDescent="0.3">
      <c r="A162" s="13">
        <v>2021</v>
      </c>
      <c r="B162" s="14" t="s">
        <v>48</v>
      </c>
      <c r="C162" s="14" t="s">
        <v>47</v>
      </c>
      <c r="D162" t="s">
        <v>44</v>
      </c>
      <c r="E162" s="17" t="s">
        <v>64</v>
      </c>
      <c r="F162" s="14"/>
      <c r="G162" s="15">
        <v>667598</v>
      </c>
    </row>
    <row r="163" spans="1:7" x14ac:dyDescent="0.3">
      <c r="A163" s="16">
        <v>2021</v>
      </c>
      <c r="B163" s="17" t="s">
        <v>48</v>
      </c>
      <c r="C163" s="17" t="s">
        <v>47</v>
      </c>
      <c r="D163" t="s">
        <v>44</v>
      </c>
      <c r="E163" s="14" t="s">
        <v>75</v>
      </c>
      <c r="F163" s="14"/>
      <c r="G163" s="18">
        <v>783559</v>
      </c>
    </row>
    <row r="164" spans="1:7" x14ac:dyDescent="0.3">
      <c r="A164" s="13">
        <v>2021</v>
      </c>
      <c r="B164" s="14" t="s">
        <v>48</v>
      </c>
      <c r="C164" s="14" t="s">
        <v>47</v>
      </c>
      <c r="D164" t="s">
        <v>45</v>
      </c>
      <c r="E164" s="14" t="s">
        <v>61</v>
      </c>
      <c r="F164" s="14"/>
      <c r="G164" s="15">
        <v>55518</v>
      </c>
    </row>
    <row r="165" spans="1:7" x14ac:dyDescent="0.3">
      <c r="A165" s="16">
        <v>2021</v>
      </c>
      <c r="B165" s="17" t="s">
        <v>48</v>
      </c>
      <c r="C165" s="17" t="s">
        <v>47</v>
      </c>
      <c r="D165" t="s">
        <v>45</v>
      </c>
      <c r="E165" s="17" t="s">
        <v>61</v>
      </c>
      <c r="F165" s="14"/>
      <c r="G165" s="18">
        <v>41881</v>
      </c>
    </row>
    <row r="166" spans="1:7" x14ac:dyDescent="0.3">
      <c r="A166" s="13">
        <v>2021</v>
      </c>
      <c r="B166" s="14" t="s">
        <v>48</v>
      </c>
      <c r="C166" s="14" t="s">
        <v>47</v>
      </c>
      <c r="D166" t="s">
        <v>45</v>
      </c>
      <c r="E166" s="14" t="s">
        <v>62</v>
      </c>
      <c r="F166" s="14"/>
      <c r="G166" s="15">
        <v>58458</v>
      </c>
    </row>
    <row r="167" spans="1:7" x14ac:dyDescent="0.3">
      <c r="A167" s="16">
        <v>2021</v>
      </c>
      <c r="B167" s="17" t="s">
        <v>48</v>
      </c>
      <c r="C167" s="17" t="s">
        <v>47</v>
      </c>
      <c r="D167" t="s">
        <v>45</v>
      </c>
      <c r="E167" s="17" t="s">
        <v>62</v>
      </c>
      <c r="F167" s="14"/>
      <c r="G167" s="18">
        <v>122541</v>
      </c>
    </row>
    <row r="168" spans="1:7" x14ac:dyDescent="0.3">
      <c r="A168" s="13">
        <v>2021</v>
      </c>
      <c r="B168" s="14" t="s">
        <v>48</v>
      </c>
      <c r="C168" s="14" t="s">
        <v>47</v>
      </c>
      <c r="D168" t="s">
        <v>45</v>
      </c>
      <c r="E168" s="14" t="s">
        <v>62</v>
      </c>
      <c r="F168" s="14"/>
      <c r="G168" s="15">
        <v>136850</v>
      </c>
    </row>
    <row r="169" spans="1:7" x14ac:dyDescent="0.3">
      <c r="A169" s="16">
        <v>2021</v>
      </c>
      <c r="B169" s="17" t="s">
        <v>48</v>
      </c>
      <c r="C169" s="17" t="s">
        <v>47</v>
      </c>
      <c r="D169" t="s">
        <v>45</v>
      </c>
      <c r="E169" s="17" t="s">
        <v>62</v>
      </c>
      <c r="F169" s="14"/>
      <c r="G169" s="18">
        <v>172844</v>
      </c>
    </row>
    <row r="170" spans="1:7" x14ac:dyDescent="0.3">
      <c r="A170" s="13">
        <v>2021</v>
      </c>
      <c r="B170" s="14" t="s">
        <v>48</v>
      </c>
      <c r="C170" s="14" t="s">
        <v>47</v>
      </c>
      <c r="D170" t="s">
        <v>45</v>
      </c>
      <c r="E170" s="14" t="s">
        <v>63</v>
      </c>
      <c r="F170" s="14"/>
      <c r="G170" s="15">
        <v>216501</v>
      </c>
    </row>
    <row r="171" spans="1:7" x14ac:dyDescent="0.3">
      <c r="A171" s="16">
        <v>2021</v>
      </c>
      <c r="B171" s="17" t="s">
        <v>48</v>
      </c>
      <c r="C171" s="17" t="s">
        <v>47</v>
      </c>
      <c r="D171" t="s">
        <v>45</v>
      </c>
      <c r="E171" s="17" t="s">
        <v>64</v>
      </c>
      <c r="F171" s="14"/>
      <c r="G171" s="18">
        <v>491545</v>
      </c>
    </row>
    <row r="172" spans="1:7" x14ac:dyDescent="0.3">
      <c r="A172" s="13">
        <v>2021</v>
      </c>
      <c r="B172" s="14" t="s">
        <v>48</v>
      </c>
      <c r="C172" s="14" t="s">
        <v>47</v>
      </c>
      <c r="D172" t="s">
        <v>45</v>
      </c>
      <c r="E172" s="14" t="s">
        <v>75</v>
      </c>
      <c r="F172" s="14"/>
      <c r="G172" s="15">
        <v>347128</v>
      </c>
    </row>
    <row r="173" spans="1:7" x14ac:dyDescent="0.3">
      <c r="A173" s="16">
        <v>2021</v>
      </c>
      <c r="B173" s="17" t="s">
        <v>48</v>
      </c>
      <c r="C173" s="17" t="s">
        <v>47</v>
      </c>
      <c r="D173" t="s">
        <v>46</v>
      </c>
      <c r="E173" s="14" t="s">
        <v>61</v>
      </c>
      <c r="F173" s="14"/>
      <c r="G173" s="18">
        <v>29377</v>
      </c>
    </row>
    <row r="174" spans="1:7" x14ac:dyDescent="0.3">
      <c r="A174" s="13">
        <v>2021</v>
      </c>
      <c r="B174" s="14" t="s">
        <v>48</v>
      </c>
      <c r="C174" s="14" t="s">
        <v>47</v>
      </c>
      <c r="D174" t="s">
        <v>46</v>
      </c>
      <c r="E174" s="17" t="s">
        <v>61</v>
      </c>
      <c r="F174" s="14"/>
      <c r="G174" s="15">
        <v>15682</v>
      </c>
    </row>
    <row r="175" spans="1:7" x14ac:dyDescent="0.3">
      <c r="A175" s="16">
        <v>2021</v>
      </c>
      <c r="B175" s="17" t="s">
        <v>48</v>
      </c>
      <c r="C175" s="17" t="s">
        <v>47</v>
      </c>
      <c r="D175" t="s">
        <v>46</v>
      </c>
      <c r="E175" s="14" t="s">
        <v>62</v>
      </c>
      <c r="F175" s="14"/>
      <c r="G175" s="18">
        <v>30134</v>
      </c>
    </row>
    <row r="176" spans="1:7" x14ac:dyDescent="0.3">
      <c r="A176" s="13">
        <v>2021</v>
      </c>
      <c r="B176" s="14" t="s">
        <v>48</v>
      </c>
      <c r="C176" s="14" t="s">
        <v>47</v>
      </c>
      <c r="D176" t="s">
        <v>46</v>
      </c>
      <c r="E176" s="17" t="s">
        <v>62</v>
      </c>
      <c r="F176" s="14"/>
      <c r="G176" s="15">
        <v>64473</v>
      </c>
    </row>
    <row r="177" spans="1:7" x14ac:dyDescent="0.3">
      <c r="A177" s="16">
        <v>2021</v>
      </c>
      <c r="B177" s="17" t="s">
        <v>48</v>
      </c>
      <c r="C177" s="17" t="s">
        <v>47</v>
      </c>
      <c r="D177" t="s">
        <v>46</v>
      </c>
      <c r="E177" s="14" t="s">
        <v>62</v>
      </c>
      <c r="F177" s="14"/>
      <c r="G177" s="18">
        <v>130487</v>
      </c>
    </row>
    <row r="178" spans="1:7" x14ac:dyDescent="0.3">
      <c r="A178" s="13">
        <v>2021</v>
      </c>
      <c r="B178" s="14" t="s">
        <v>48</v>
      </c>
      <c r="C178" s="14" t="s">
        <v>47</v>
      </c>
      <c r="D178" t="s">
        <v>46</v>
      </c>
      <c r="E178" s="17" t="s">
        <v>62</v>
      </c>
      <c r="F178" s="14"/>
      <c r="G178" s="15">
        <v>122600</v>
      </c>
    </row>
    <row r="179" spans="1:7" x14ac:dyDescent="0.3">
      <c r="A179" s="16">
        <v>2021</v>
      </c>
      <c r="B179" s="17" t="s">
        <v>48</v>
      </c>
      <c r="C179" s="17" t="s">
        <v>47</v>
      </c>
      <c r="D179" t="s">
        <v>46</v>
      </c>
      <c r="E179" s="14" t="s">
        <v>63</v>
      </c>
      <c r="F179" s="14"/>
      <c r="G179" s="18">
        <v>86851</v>
      </c>
    </row>
    <row r="180" spans="1:7" x14ac:dyDescent="0.3">
      <c r="A180" s="13">
        <v>2021</v>
      </c>
      <c r="B180" s="14" t="s">
        <v>48</v>
      </c>
      <c r="C180" s="14" t="s">
        <v>47</v>
      </c>
      <c r="D180" t="s">
        <v>46</v>
      </c>
      <c r="E180" s="17" t="s">
        <v>64</v>
      </c>
      <c r="F180" s="14"/>
      <c r="G180" s="15">
        <v>240510</v>
      </c>
    </row>
    <row r="181" spans="1:7" x14ac:dyDescent="0.3">
      <c r="A181" s="16">
        <v>2021</v>
      </c>
      <c r="B181" s="17" t="s">
        <v>48</v>
      </c>
      <c r="C181" s="17" t="s">
        <v>47</v>
      </c>
      <c r="D181" t="s">
        <v>46</v>
      </c>
      <c r="E181" s="14" t="s">
        <v>75</v>
      </c>
      <c r="F181" s="14"/>
      <c r="G181" s="18">
        <v>400536</v>
      </c>
    </row>
    <row r="182" spans="1:7" x14ac:dyDescent="0.3">
      <c r="A182" s="13">
        <v>2021</v>
      </c>
      <c r="B182" s="14" t="s">
        <v>49</v>
      </c>
      <c r="C182" s="14" t="s">
        <v>41</v>
      </c>
      <c r="D182" t="s">
        <v>42</v>
      </c>
      <c r="E182" s="14" t="s">
        <v>76</v>
      </c>
      <c r="F182" s="14"/>
      <c r="G182" s="15">
        <v>97132</v>
      </c>
    </row>
    <row r="183" spans="1:7" x14ac:dyDescent="0.3">
      <c r="A183" s="16">
        <v>2021</v>
      </c>
      <c r="B183" s="17" t="s">
        <v>49</v>
      </c>
      <c r="C183" s="17" t="s">
        <v>41</v>
      </c>
      <c r="D183" t="s">
        <v>42</v>
      </c>
      <c r="E183" s="17" t="s">
        <v>76</v>
      </c>
      <c r="F183" s="14"/>
      <c r="G183" s="18">
        <v>37021</v>
      </c>
    </row>
    <row r="184" spans="1:7" x14ac:dyDescent="0.3">
      <c r="A184" s="13">
        <v>2021</v>
      </c>
      <c r="B184" s="14" t="s">
        <v>49</v>
      </c>
      <c r="C184" s="14" t="s">
        <v>41</v>
      </c>
      <c r="D184" t="s">
        <v>42</v>
      </c>
      <c r="E184" s="14" t="s">
        <v>76</v>
      </c>
      <c r="F184" s="14"/>
      <c r="G184" s="15">
        <v>66290</v>
      </c>
    </row>
    <row r="185" spans="1:7" x14ac:dyDescent="0.3">
      <c r="A185" s="16">
        <v>2021</v>
      </c>
      <c r="B185" s="17" t="s">
        <v>49</v>
      </c>
      <c r="C185" s="17" t="s">
        <v>41</v>
      </c>
      <c r="D185" t="s">
        <v>42</v>
      </c>
      <c r="E185" s="17" t="s">
        <v>76</v>
      </c>
      <c r="F185" s="14"/>
      <c r="G185" s="18">
        <v>69100</v>
      </c>
    </row>
    <row r="186" spans="1:7" x14ac:dyDescent="0.3">
      <c r="A186" s="13">
        <v>2021</v>
      </c>
      <c r="B186" s="14" t="s">
        <v>49</v>
      </c>
      <c r="C186" s="14" t="s">
        <v>41</v>
      </c>
      <c r="D186" t="s">
        <v>42</v>
      </c>
      <c r="E186" s="14" t="s">
        <v>76</v>
      </c>
      <c r="F186" s="14"/>
      <c r="G186" s="15">
        <v>68659</v>
      </c>
    </row>
    <row r="187" spans="1:7" x14ac:dyDescent="0.3">
      <c r="A187" s="16">
        <v>2021</v>
      </c>
      <c r="B187" s="17" t="s">
        <v>49</v>
      </c>
      <c r="C187" s="17" t="s">
        <v>41</v>
      </c>
      <c r="D187" t="s">
        <v>42</v>
      </c>
      <c r="E187" s="17" t="s">
        <v>77</v>
      </c>
      <c r="F187" s="14"/>
      <c r="G187" s="18">
        <v>60045</v>
      </c>
    </row>
    <row r="188" spans="1:7" x14ac:dyDescent="0.3">
      <c r="A188" s="13">
        <v>2021</v>
      </c>
      <c r="B188" s="14" t="s">
        <v>49</v>
      </c>
      <c r="C188" s="14" t="s">
        <v>41</v>
      </c>
      <c r="D188" t="s">
        <v>42</v>
      </c>
      <c r="E188" s="14" t="s">
        <v>77</v>
      </c>
      <c r="F188" s="14"/>
      <c r="G188" s="15">
        <v>45343</v>
      </c>
    </row>
    <row r="189" spans="1:7" x14ac:dyDescent="0.3">
      <c r="A189" s="16">
        <v>2021</v>
      </c>
      <c r="B189" s="17" t="s">
        <v>49</v>
      </c>
      <c r="C189" s="17" t="s">
        <v>41</v>
      </c>
      <c r="D189" t="s">
        <v>42</v>
      </c>
      <c r="E189" s="17" t="s">
        <v>77</v>
      </c>
      <c r="F189" s="14"/>
      <c r="G189" s="18">
        <v>39056</v>
      </c>
    </row>
    <row r="190" spans="1:7" x14ac:dyDescent="0.3">
      <c r="A190" s="13">
        <v>2021</v>
      </c>
      <c r="B190" s="14" t="s">
        <v>49</v>
      </c>
      <c r="C190" s="14" t="s">
        <v>41</v>
      </c>
      <c r="D190" t="s">
        <v>42</v>
      </c>
      <c r="E190" s="14" t="s">
        <v>78</v>
      </c>
      <c r="F190" s="14"/>
      <c r="G190" s="15">
        <v>46924</v>
      </c>
    </row>
    <row r="191" spans="1:7" x14ac:dyDescent="0.3">
      <c r="A191" s="16">
        <v>2021</v>
      </c>
      <c r="B191" s="17" t="s">
        <v>49</v>
      </c>
      <c r="C191" s="17" t="s">
        <v>41</v>
      </c>
      <c r="D191" t="s">
        <v>43</v>
      </c>
      <c r="E191" s="14" t="s">
        <v>76</v>
      </c>
      <c r="F191" s="14"/>
      <c r="G191" s="18">
        <v>123029</v>
      </c>
    </row>
    <row r="192" spans="1:7" x14ac:dyDescent="0.3">
      <c r="A192" s="13">
        <v>2021</v>
      </c>
      <c r="B192" s="14" t="s">
        <v>49</v>
      </c>
      <c r="C192" s="14" t="s">
        <v>41</v>
      </c>
      <c r="D192" t="s">
        <v>43</v>
      </c>
      <c r="E192" s="17" t="s">
        <v>76</v>
      </c>
      <c r="F192" s="14"/>
      <c r="G192" s="15">
        <v>50803</v>
      </c>
    </row>
    <row r="193" spans="1:7" x14ac:dyDescent="0.3">
      <c r="A193" s="16">
        <v>2021</v>
      </c>
      <c r="B193" s="17" t="s">
        <v>49</v>
      </c>
      <c r="C193" s="17" t="s">
        <v>41</v>
      </c>
      <c r="D193" t="s">
        <v>43</v>
      </c>
      <c r="E193" s="14" t="s">
        <v>76</v>
      </c>
      <c r="F193" s="14"/>
      <c r="G193" s="18">
        <v>86678</v>
      </c>
    </row>
    <row r="194" spans="1:7" x14ac:dyDescent="0.3">
      <c r="A194" s="13">
        <v>2021</v>
      </c>
      <c r="B194" s="14" t="s">
        <v>49</v>
      </c>
      <c r="C194" s="14" t="s">
        <v>41</v>
      </c>
      <c r="D194" t="s">
        <v>43</v>
      </c>
      <c r="E194" s="17" t="s">
        <v>76</v>
      </c>
      <c r="F194" s="14"/>
      <c r="G194" s="15">
        <v>83936</v>
      </c>
    </row>
    <row r="195" spans="1:7" x14ac:dyDescent="0.3">
      <c r="A195" s="16">
        <v>2021</v>
      </c>
      <c r="B195" s="17" t="s">
        <v>49</v>
      </c>
      <c r="C195" s="17" t="s">
        <v>41</v>
      </c>
      <c r="D195" t="s">
        <v>43</v>
      </c>
      <c r="E195" s="14" t="s">
        <v>76</v>
      </c>
      <c r="F195" s="14"/>
      <c r="G195" s="18">
        <v>85455</v>
      </c>
    </row>
    <row r="196" spans="1:7" x14ac:dyDescent="0.3">
      <c r="A196" s="13">
        <v>2021</v>
      </c>
      <c r="B196" s="14" t="s">
        <v>49</v>
      </c>
      <c r="C196" s="14" t="s">
        <v>41</v>
      </c>
      <c r="D196" t="s">
        <v>43</v>
      </c>
      <c r="E196" s="17" t="s">
        <v>77</v>
      </c>
      <c r="F196" s="14"/>
      <c r="G196" s="15">
        <v>73581</v>
      </c>
    </row>
    <row r="197" spans="1:7" x14ac:dyDescent="0.3">
      <c r="A197" s="16">
        <v>2021</v>
      </c>
      <c r="B197" s="17" t="s">
        <v>49</v>
      </c>
      <c r="C197" s="17" t="s">
        <v>41</v>
      </c>
      <c r="D197" t="s">
        <v>43</v>
      </c>
      <c r="E197" s="14" t="s">
        <v>77</v>
      </c>
      <c r="F197" s="14"/>
      <c r="G197" s="18">
        <v>59564</v>
      </c>
    </row>
    <row r="198" spans="1:7" x14ac:dyDescent="0.3">
      <c r="A198" s="13">
        <v>2021</v>
      </c>
      <c r="B198" s="14" t="s">
        <v>49</v>
      </c>
      <c r="C198" s="14" t="s">
        <v>41</v>
      </c>
      <c r="D198" t="s">
        <v>43</v>
      </c>
      <c r="E198" s="17" t="s">
        <v>77</v>
      </c>
      <c r="F198" s="14"/>
      <c r="G198" s="15">
        <v>49359</v>
      </c>
    </row>
    <row r="199" spans="1:7" x14ac:dyDescent="0.3">
      <c r="A199" s="16">
        <v>2021</v>
      </c>
      <c r="B199" s="17" t="s">
        <v>49</v>
      </c>
      <c r="C199" s="17" t="s">
        <v>41</v>
      </c>
      <c r="D199" t="s">
        <v>43</v>
      </c>
      <c r="E199" s="14" t="s">
        <v>78</v>
      </c>
      <c r="F199" s="14"/>
      <c r="G199" s="18">
        <v>34170</v>
      </c>
    </row>
    <row r="200" spans="1:7" x14ac:dyDescent="0.3">
      <c r="A200" s="13">
        <v>2021</v>
      </c>
      <c r="B200" s="14" t="s">
        <v>49</v>
      </c>
      <c r="C200" s="14" t="s">
        <v>41</v>
      </c>
      <c r="D200" t="s">
        <v>44</v>
      </c>
      <c r="E200" s="14" t="s">
        <v>76</v>
      </c>
      <c r="F200" s="14"/>
      <c r="G200" s="15">
        <v>320407</v>
      </c>
    </row>
    <row r="201" spans="1:7" x14ac:dyDescent="0.3">
      <c r="A201" s="16">
        <v>2021</v>
      </c>
      <c r="B201" s="17" t="s">
        <v>49</v>
      </c>
      <c r="C201" s="17" t="s">
        <v>41</v>
      </c>
      <c r="D201" t="s">
        <v>44</v>
      </c>
      <c r="E201" s="17" t="s">
        <v>76</v>
      </c>
      <c r="F201" s="14"/>
      <c r="G201" s="18">
        <v>110136</v>
      </c>
    </row>
    <row r="202" spans="1:7" x14ac:dyDescent="0.3">
      <c r="A202" s="13">
        <v>2021</v>
      </c>
      <c r="B202" s="14" t="s">
        <v>49</v>
      </c>
      <c r="C202" s="14" t="s">
        <v>41</v>
      </c>
      <c r="D202" t="s">
        <v>44</v>
      </c>
      <c r="E202" s="14" t="s">
        <v>76</v>
      </c>
      <c r="F202" s="14"/>
      <c r="G202" s="15">
        <v>233693</v>
      </c>
    </row>
    <row r="203" spans="1:7" x14ac:dyDescent="0.3">
      <c r="A203" s="16">
        <v>2021</v>
      </c>
      <c r="B203" s="17" t="s">
        <v>49</v>
      </c>
      <c r="C203" s="17" t="s">
        <v>41</v>
      </c>
      <c r="D203" t="s">
        <v>44</v>
      </c>
      <c r="E203" s="17" t="s">
        <v>76</v>
      </c>
      <c r="F203" s="14"/>
      <c r="G203" s="18">
        <v>252665</v>
      </c>
    </row>
    <row r="204" spans="1:7" x14ac:dyDescent="0.3">
      <c r="A204" s="13">
        <v>2021</v>
      </c>
      <c r="B204" s="14" t="s">
        <v>49</v>
      </c>
      <c r="C204" s="14" t="s">
        <v>41</v>
      </c>
      <c r="D204" t="s">
        <v>44</v>
      </c>
      <c r="E204" s="14" t="s">
        <v>76</v>
      </c>
      <c r="F204" s="14"/>
      <c r="G204" s="15">
        <v>262297</v>
      </c>
    </row>
    <row r="205" spans="1:7" x14ac:dyDescent="0.3">
      <c r="A205" s="16">
        <v>2021</v>
      </c>
      <c r="B205" s="17" t="s">
        <v>49</v>
      </c>
      <c r="C205" s="17" t="s">
        <v>41</v>
      </c>
      <c r="D205" t="s">
        <v>44</v>
      </c>
      <c r="E205" s="17" t="s">
        <v>77</v>
      </c>
      <c r="F205" s="14"/>
      <c r="G205" s="18">
        <v>230867</v>
      </c>
    </row>
    <row r="206" spans="1:7" x14ac:dyDescent="0.3">
      <c r="A206" s="13">
        <v>2021</v>
      </c>
      <c r="B206" s="14" t="s">
        <v>49</v>
      </c>
      <c r="C206" s="14" t="s">
        <v>41</v>
      </c>
      <c r="D206" t="s">
        <v>44</v>
      </c>
      <c r="E206" s="14" t="s">
        <v>77</v>
      </c>
      <c r="F206" s="14"/>
      <c r="G206" s="15">
        <v>173537</v>
      </c>
    </row>
    <row r="207" spans="1:7" x14ac:dyDescent="0.3">
      <c r="A207" s="16">
        <v>2021</v>
      </c>
      <c r="B207" s="17" t="s">
        <v>49</v>
      </c>
      <c r="C207" s="17" t="s">
        <v>41</v>
      </c>
      <c r="D207" t="s">
        <v>44</v>
      </c>
      <c r="E207" s="17" t="s">
        <v>77</v>
      </c>
      <c r="F207" s="14"/>
      <c r="G207" s="18">
        <v>143541</v>
      </c>
    </row>
    <row r="208" spans="1:7" x14ac:dyDescent="0.3">
      <c r="A208" s="13">
        <v>2021</v>
      </c>
      <c r="B208" s="14" t="s">
        <v>49</v>
      </c>
      <c r="C208" s="14" t="s">
        <v>41</v>
      </c>
      <c r="D208" t="s">
        <v>44</v>
      </c>
      <c r="E208" s="14" t="s">
        <v>78</v>
      </c>
      <c r="F208" s="14"/>
      <c r="G208" s="15">
        <v>89641</v>
      </c>
    </row>
    <row r="209" spans="1:7" x14ac:dyDescent="0.3">
      <c r="A209" s="16">
        <v>2021</v>
      </c>
      <c r="B209" s="17" t="s">
        <v>49</v>
      </c>
      <c r="C209" s="17" t="s">
        <v>41</v>
      </c>
      <c r="D209" t="s">
        <v>45</v>
      </c>
      <c r="E209" s="14" t="s">
        <v>76</v>
      </c>
      <c r="F209" s="14"/>
      <c r="G209" s="18">
        <v>712695</v>
      </c>
    </row>
    <row r="210" spans="1:7" x14ac:dyDescent="0.3">
      <c r="A210" s="13">
        <v>2021</v>
      </c>
      <c r="B210" s="14" t="s">
        <v>49</v>
      </c>
      <c r="C210" s="14" t="s">
        <v>41</v>
      </c>
      <c r="D210" t="s">
        <v>45</v>
      </c>
      <c r="E210" s="17" t="s">
        <v>76</v>
      </c>
      <c r="F210" s="14"/>
      <c r="G210" s="15">
        <v>222387</v>
      </c>
    </row>
    <row r="211" spans="1:7" x14ac:dyDescent="0.3">
      <c r="A211" s="16">
        <v>2021</v>
      </c>
      <c r="B211" s="17" t="s">
        <v>49</v>
      </c>
      <c r="C211" s="17" t="s">
        <v>41</v>
      </c>
      <c r="D211" t="s">
        <v>45</v>
      </c>
      <c r="E211" s="14" t="s">
        <v>76</v>
      </c>
      <c r="F211" s="14"/>
      <c r="G211" s="18">
        <v>435126</v>
      </c>
    </row>
    <row r="212" spans="1:7" x14ac:dyDescent="0.3">
      <c r="A212" s="13">
        <v>2021</v>
      </c>
      <c r="B212" s="14" t="s">
        <v>49</v>
      </c>
      <c r="C212" s="14" t="s">
        <v>41</v>
      </c>
      <c r="D212" t="s">
        <v>45</v>
      </c>
      <c r="E212" s="17" t="s">
        <v>76</v>
      </c>
      <c r="F212" s="14"/>
      <c r="G212" s="15">
        <v>545849</v>
      </c>
    </row>
    <row r="213" spans="1:7" x14ac:dyDescent="0.3">
      <c r="A213" s="16">
        <v>2021</v>
      </c>
      <c r="B213" s="17" t="s">
        <v>49</v>
      </c>
      <c r="C213" s="17" t="s">
        <v>41</v>
      </c>
      <c r="D213" t="s">
        <v>45</v>
      </c>
      <c r="E213" s="14" t="s">
        <v>76</v>
      </c>
      <c r="F213" s="14"/>
      <c r="G213" s="18">
        <v>577522</v>
      </c>
    </row>
    <row r="214" spans="1:7" x14ac:dyDescent="0.3">
      <c r="A214" s="13">
        <v>2021</v>
      </c>
      <c r="B214" s="14" t="s">
        <v>49</v>
      </c>
      <c r="C214" s="14" t="s">
        <v>41</v>
      </c>
      <c r="D214" t="s">
        <v>45</v>
      </c>
      <c r="E214" s="17" t="s">
        <v>77</v>
      </c>
      <c r="F214" s="14"/>
      <c r="G214" s="15">
        <v>532652</v>
      </c>
    </row>
    <row r="215" spans="1:7" x14ac:dyDescent="0.3">
      <c r="A215" s="16">
        <v>2021</v>
      </c>
      <c r="B215" s="17" t="s">
        <v>49</v>
      </c>
      <c r="C215" s="17" t="s">
        <v>41</v>
      </c>
      <c r="D215" t="s">
        <v>45</v>
      </c>
      <c r="E215" s="14" t="s">
        <v>77</v>
      </c>
      <c r="F215" s="14"/>
      <c r="G215" s="18">
        <v>397332</v>
      </c>
    </row>
    <row r="216" spans="1:7" x14ac:dyDescent="0.3">
      <c r="A216" s="13">
        <v>2021</v>
      </c>
      <c r="B216" s="14" t="s">
        <v>49</v>
      </c>
      <c r="C216" s="14" t="s">
        <v>41</v>
      </c>
      <c r="D216" t="s">
        <v>45</v>
      </c>
      <c r="E216" s="17" t="s">
        <v>77</v>
      </c>
      <c r="F216" s="14"/>
      <c r="G216" s="15">
        <v>397875</v>
      </c>
    </row>
    <row r="217" spans="1:7" x14ac:dyDescent="0.3">
      <c r="A217" s="16">
        <v>2021</v>
      </c>
      <c r="B217" s="17" t="s">
        <v>49</v>
      </c>
      <c r="C217" s="17" t="s">
        <v>41</v>
      </c>
      <c r="D217" t="s">
        <v>45</v>
      </c>
      <c r="E217" s="14" t="s">
        <v>78</v>
      </c>
      <c r="F217" s="14"/>
      <c r="G217" s="18">
        <v>214256</v>
      </c>
    </row>
    <row r="218" spans="1:7" x14ac:dyDescent="0.3">
      <c r="A218" s="13">
        <v>2021</v>
      </c>
      <c r="B218" s="14" t="s">
        <v>49</v>
      </c>
      <c r="C218" s="14" t="s">
        <v>41</v>
      </c>
      <c r="D218" t="s">
        <v>46</v>
      </c>
      <c r="E218" s="14" t="s">
        <v>76</v>
      </c>
      <c r="F218" s="14"/>
      <c r="G218" s="15">
        <v>1826009</v>
      </c>
    </row>
    <row r="219" spans="1:7" x14ac:dyDescent="0.3">
      <c r="A219" s="16">
        <v>2021</v>
      </c>
      <c r="B219" s="17" t="s">
        <v>49</v>
      </c>
      <c r="C219" s="17" t="s">
        <v>41</v>
      </c>
      <c r="D219" t="s">
        <v>46</v>
      </c>
      <c r="E219" s="17" t="s">
        <v>76</v>
      </c>
      <c r="F219" s="14"/>
      <c r="G219" s="18">
        <v>529900</v>
      </c>
    </row>
    <row r="220" spans="1:7" x14ac:dyDescent="0.3">
      <c r="A220" s="13">
        <v>2021</v>
      </c>
      <c r="B220" s="14" t="s">
        <v>49</v>
      </c>
      <c r="C220" s="14" t="s">
        <v>41</v>
      </c>
      <c r="D220" t="s">
        <v>46</v>
      </c>
      <c r="E220" s="14" t="s">
        <v>76</v>
      </c>
      <c r="F220" s="14"/>
      <c r="G220" s="15">
        <v>1205240</v>
      </c>
    </row>
    <row r="221" spans="1:7" x14ac:dyDescent="0.3">
      <c r="A221" s="16">
        <v>2021</v>
      </c>
      <c r="B221" s="17" t="s">
        <v>49</v>
      </c>
      <c r="C221" s="17" t="s">
        <v>41</v>
      </c>
      <c r="D221" t="s">
        <v>46</v>
      </c>
      <c r="E221" s="17" t="s">
        <v>76</v>
      </c>
      <c r="F221" s="14"/>
      <c r="G221" s="18">
        <v>1736815</v>
      </c>
    </row>
    <row r="222" spans="1:7" x14ac:dyDescent="0.3">
      <c r="A222" s="13">
        <v>2021</v>
      </c>
      <c r="B222" s="14" t="s">
        <v>49</v>
      </c>
      <c r="C222" s="14" t="s">
        <v>41</v>
      </c>
      <c r="D222" t="s">
        <v>46</v>
      </c>
      <c r="E222" s="14" t="s">
        <v>76</v>
      </c>
      <c r="F222" s="14"/>
      <c r="G222" s="15">
        <v>2739082</v>
      </c>
    </row>
    <row r="223" spans="1:7" x14ac:dyDescent="0.3">
      <c r="A223" s="16">
        <v>2021</v>
      </c>
      <c r="B223" s="17" t="s">
        <v>49</v>
      </c>
      <c r="C223" s="17" t="s">
        <v>41</v>
      </c>
      <c r="D223" t="s">
        <v>46</v>
      </c>
      <c r="E223" s="17" t="s">
        <v>77</v>
      </c>
      <c r="F223" s="14"/>
      <c r="G223" s="18">
        <v>2214697</v>
      </c>
    </row>
    <row r="224" spans="1:7" x14ac:dyDescent="0.3">
      <c r="A224" s="13">
        <v>2021</v>
      </c>
      <c r="B224" s="14" t="s">
        <v>49</v>
      </c>
      <c r="C224" s="14" t="s">
        <v>41</v>
      </c>
      <c r="D224" t="s">
        <v>46</v>
      </c>
      <c r="E224" s="14" t="s">
        <v>77</v>
      </c>
      <c r="F224" s="14"/>
      <c r="G224" s="15">
        <v>1073138</v>
      </c>
    </row>
    <row r="225" spans="1:7" x14ac:dyDescent="0.3">
      <c r="A225" s="16">
        <v>2021</v>
      </c>
      <c r="B225" s="17" t="s">
        <v>49</v>
      </c>
      <c r="C225" s="17" t="s">
        <v>41</v>
      </c>
      <c r="D225" t="s">
        <v>46</v>
      </c>
      <c r="E225" s="17" t="s">
        <v>77</v>
      </c>
      <c r="F225" s="14"/>
      <c r="G225" s="18">
        <v>1644249</v>
      </c>
    </row>
    <row r="226" spans="1:7" x14ac:dyDescent="0.3">
      <c r="A226" s="13">
        <v>2021</v>
      </c>
      <c r="B226" s="14" t="s">
        <v>49</v>
      </c>
      <c r="C226" s="14" t="s">
        <v>41</v>
      </c>
      <c r="D226" t="s">
        <v>46</v>
      </c>
      <c r="E226" s="14" t="s">
        <v>78</v>
      </c>
      <c r="F226" s="14"/>
      <c r="G226" s="15">
        <v>785281</v>
      </c>
    </row>
    <row r="227" spans="1:7" x14ac:dyDescent="0.3">
      <c r="A227" s="16">
        <v>2021</v>
      </c>
      <c r="B227" s="17" t="s">
        <v>49</v>
      </c>
      <c r="C227" s="17" t="s">
        <v>47</v>
      </c>
      <c r="D227" t="s">
        <v>42</v>
      </c>
      <c r="E227" s="14" t="s">
        <v>61</v>
      </c>
      <c r="F227" s="14"/>
      <c r="G227" s="18">
        <v>1359597</v>
      </c>
    </row>
    <row r="228" spans="1:7" x14ac:dyDescent="0.3">
      <c r="A228" s="13">
        <v>2021</v>
      </c>
      <c r="B228" s="14" t="s">
        <v>49</v>
      </c>
      <c r="C228" s="14" t="s">
        <v>47</v>
      </c>
      <c r="D228" t="s">
        <v>42</v>
      </c>
      <c r="E228" s="17" t="s">
        <v>61</v>
      </c>
      <c r="F228" s="14"/>
      <c r="G228" s="15">
        <v>864619</v>
      </c>
    </row>
    <row r="229" spans="1:7" x14ac:dyDescent="0.3">
      <c r="A229" s="16">
        <v>2021</v>
      </c>
      <c r="B229" s="17" t="s">
        <v>49</v>
      </c>
      <c r="C229" s="17" t="s">
        <v>47</v>
      </c>
      <c r="D229" t="s">
        <v>42</v>
      </c>
      <c r="E229" s="14" t="s">
        <v>62</v>
      </c>
      <c r="F229" s="14"/>
      <c r="G229" s="18">
        <v>2038793</v>
      </c>
    </row>
    <row r="230" spans="1:7" x14ac:dyDescent="0.3">
      <c r="A230" s="13">
        <v>2021</v>
      </c>
      <c r="B230" s="14" t="s">
        <v>49</v>
      </c>
      <c r="C230" s="14" t="s">
        <v>47</v>
      </c>
      <c r="D230" t="s">
        <v>42</v>
      </c>
      <c r="E230" s="17" t="s">
        <v>62</v>
      </c>
      <c r="F230" s="14"/>
      <c r="G230" s="15">
        <v>1912967</v>
      </c>
    </row>
    <row r="231" spans="1:7" x14ac:dyDescent="0.3">
      <c r="A231" s="16">
        <v>2021</v>
      </c>
      <c r="B231" s="17" t="s">
        <v>49</v>
      </c>
      <c r="C231" s="17" t="s">
        <v>47</v>
      </c>
      <c r="D231" t="s">
        <v>42</v>
      </c>
      <c r="E231" s="14" t="s">
        <v>62</v>
      </c>
      <c r="F231" s="14"/>
      <c r="G231" s="18">
        <v>2013458</v>
      </c>
    </row>
    <row r="232" spans="1:7" x14ac:dyDescent="0.3">
      <c r="A232" s="13">
        <v>2021</v>
      </c>
      <c r="B232" s="14" t="s">
        <v>49</v>
      </c>
      <c r="C232" s="14" t="s">
        <v>47</v>
      </c>
      <c r="D232" t="s">
        <v>42</v>
      </c>
      <c r="E232" s="17" t="s">
        <v>62</v>
      </c>
      <c r="F232" s="14"/>
      <c r="G232" s="15">
        <v>1947743</v>
      </c>
    </row>
    <row r="233" spans="1:7" x14ac:dyDescent="0.3">
      <c r="A233" s="16">
        <v>2021</v>
      </c>
      <c r="B233" s="17" t="s">
        <v>49</v>
      </c>
      <c r="C233" s="17" t="s">
        <v>47</v>
      </c>
      <c r="D233" t="s">
        <v>42</v>
      </c>
      <c r="E233" s="14" t="s">
        <v>63</v>
      </c>
      <c r="F233" s="14"/>
      <c r="G233" s="18">
        <v>1644908</v>
      </c>
    </row>
    <row r="234" spans="1:7" x14ac:dyDescent="0.3">
      <c r="A234" s="13">
        <v>2021</v>
      </c>
      <c r="B234" s="14" t="s">
        <v>49</v>
      </c>
      <c r="C234" s="14" t="s">
        <v>47</v>
      </c>
      <c r="D234" t="s">
        <v>42</v>
      </c>
      <c r="E234" s="17" t="s">
        <v>64</v>
      </c>
      <c r="F234" s="14"/>
      <c r="G234" s="15">
        <v>1294358</v>
      </c>
    </row>
    <row r="235" spans="1:7" x14ac:dyDescent="0.3">
      <c r="A235" s="16">
        <v>2021</v>
      </c>
      <c r="B235" s="17" t="s">
        <v>49</v>
      </c>
      <c r="C235" s="17" t="s">
        <v>47</v>
      </c>
      <c r="D235" t="s">
        <v>42</v>
      </c>
      <c r="E235" s="14" t="s">
        <v>75</v>
      </c>
      <c r="F235" s="14"/>
      <c r="G235" s="18">
        <v>768068</v>
      </c>
    </row>
    <row r="236" spans="1:7" x14ac:dyDescent="0.3">
      <c r="A236" s="13">
        <v>2021</v>
      </c>
      <c r="B236" s="14" t="s">
        <v>49</v>
      </c>
      <c r="C236" s="14" t="s">
        <v>47</v>
      </c>
      <c r="D236" t="s">
        <v>43</v>
      </c>
      <c r="E236" s="14" t="s">
        <v>61</v>
      </c>
      <c r="F236" s="14"/>
      <c r="G236" s="15">
        <v>697516</v>
      </c>
    </row>
    <row r="237" spans="1:7" x14ac:dyDescent="0.3">
      <c r="A237" s="16">
        <v>2021</v>
      </c>
      <c r="B237" s="17" t="s">
        <v>49</v>
      </c>
      <c r="C237" s="17" t="s">
        <v>47</v>
      </c>
      <c r="D237" t="s">
        <v>43</v>
      </c>
      <c r="E237" s="17" t="s">
        <v>61</v>
      </c>
      <c r="F237" s="14"/>
      <c r="G237" s="18">
        <v>326521</v>
      </c>
    </row>
    <row r="238" spans="1:7" x14ac:dyDescent="0.3">
      <c r="A238" s="13">
        <v>2021</v>
      </c>
      <c r="B238" s="14" t="s">
        <v>49</v>
      </c>
      <c r="C238" s="14" t="s">
        <v>47</v>
      </c>
      <c r="D238" t="s">
        <v>43</v>
      </c>
      <c r="E238" s="14" t="s">
        <v>62</v>
      </c>
      <c r="F238" s="14"/>
      <c r="G238" s="15">
        <v>613326</v>
      </c>
    </row>
    <row r="239" spans="1:7" x14ac:dyDescent="0.3">
      <c r="A239" s="16">
        <v>2021</v>
      </c>
      <c r="B239" s="17" t="s">
        <v>49</v>
      </c>
      <c r="C239" s="17" t="s">
        <v>47</v>
      </c>
      <c r="D239" t="s">
        <v>43</v>
      </c>
      <c r="E239" s="17" t="s">
        <v>62</v>
      </c>
      <c r="F239" s="14"/>
      <c r="G239" s="18">
        <v>737615</v>
      </c>
    </row>
    <row r="240" spans="1:7" x14ac:dyDescent="0.3">
      <c r="A240" s="13">
        <v>2021</v>
      </c>
      <c r="B240" s="14" t="s">
        <v>49</v>
      </c>
      <c r="C240" s="14" t="s">
        <v>47</v>
      </c>
      <c r="D240" t="s">
        <v>43</v>
      </c>
      <c r="E240" s="14" t="s">
        <v>62</v>
      </c>
      <c r="F240" s="14"/>
      <c r="G240" s="15">
        <v>932025</v>
      </c>
    </row>
    <row r="241" spans="1:7" x14ac:dyDescent="0.3">
      <c r="A241" s="16">
        <v>2021</v>
      </c>
      <c r="B241" s="17" t="s">
        <v>49</v>
      </c>
      <c r="C241" s="17" t="s">
        <v>47</v>
      </c>
      <c r="D241" t="s">
        <v>43</v>
      </c>
      <c r="E241" s="17" t="s">
        <v>62</v>
      </c>
      <c r="F241" s="14"/>
      <c r="G241" s="18">
        <v>837315</v>
      </c>
    </row>
    <row r="242" spans="1:7" x14ac:dyDescent="0.3">
      <c r="A242" s="13">
        <v>2021</v>
      </c>
      <c r="B242" s="14" t="s">
        <v>49</v>
      </c>
      <c r="C242" s="14" t="s">
        <v>47</v>
      </c>
      <c r="D242" t="s">
        <v>43</v>
      </c>
      <c r="E242" s="14" t="s">
        <v>63</v>
      </c>
      <c r="F242" s="14"/>
      <c r="G242" s="15">
        <v>543390</v>
      </c>
    </row>
    <row r="243" spans="1:7" x14ac:dyDescent="0.3">
      <c r="A243" s="16">
        <v>2021</v>
      </c>
      <c r="B243" s="17" t="s">
        <v>49</v>
      </c>
      <c r="C243" s="17" t="s">
        <v>47</v>
      </c>
      <c r="D243" t="s">
        <v>43</v>
      </c>
      <c r="E243" s="17" t="s">
        <v>64</v>
      </c>
      <c r="F243" s="14"/>
      <c r="G243" s="18">
        <v>883116</v>
      </c>
    </row>
    <row r="244" spans="1:7" x14ac:dyDescent="0.3">
      <c r="A244" s="13">
        <v>2021</v>
      </c>
      <c r="B244" s="14" t="s">
        <v>49</v>
      </c>
      <c r="C244" s="14" t="s">
        <v>47</v>
      </c>
      <c r="D244" t="s">
        <v>43</v>
      </c>
      <c r="E244" s="14" t="s">
        <v>75</v>
      </c>
      <c r="F244" s="14"/>
      <c r="G244" s="15">
        <v>912909</v>
      </c>
    </row>
    <row r="245" spans="1:7" x14ac:dyDescent="0.3">
      <c r="A245" s="16">
        <v>2021</v>
      </c>
      <c r="B245" s="17" t="s">
        <v>49</v>
      </c>
      <c r="C245" s="17" t="s">
        <v>47</v>
      </c>
      <c r="D245" t="s">
        <v>44</v>
      </c>
      <c r="E245" s="14" t="s">
        <v>61</v>
      </c>
      <c r="F245" s="14"/>
      <c r="G245" s="18">
        <v>533234</v>
      </c>
    </row>
    <row r="246" spans="1:7" x14ac:dyDescent="0.3">
      <c r="A246" s="13">
        <v>2021</v>
      </c>
      <c r="B246" s="14" t="s">
        <v>49</v>
      </c>
      <c r="C246" s="14" t="s">
        <v>47</v>
      </c>
      <c r="D246" t="s">
        <v>44</v>
      </c>
      <c r="E246" s="17" t="s">
        <v>61</v>
      </c>
      <c r="F246" s="14"/>
      <c r="G246" s="15">
        <v>289763</v>
      </c>
    </row>
    <row r="247" spans="1:7" x14ac:dyDescent="0.3">
      <c r="A247" s="16">
        <v>2021</v>
      </c>
      <c r="B247" s="17" t="s">
        <v>49</v>
      </c>
      <c r="C247" s="17" t="s">
        <v>47</v>
      </c>
      <c r="D247" t="s">
        <v>44</v>
      </c>
      <c r="E247" s="14" t="s">
        <v>62</v>
      </c>
      <c r="F247" s="14"/>
      <c r="G247" s="18">
        <v>473607</v>
      </c>
    </row>
    <row r="248" spans="1:7" x14ac:dyDescent="0.3">
      <c r="A248" s="13">
        <v>2021</v>
      </c>
      <c r="B248" s="14" t="s">
        <v>49</v>
      </c>
      <c r="C248" s="14" t="s">
        <v>47</v>
      </c>
      <c r="D248" t="s">
        <v>44</v>
      </c>
      <c r="E248" s="17" t="s">
        <v>62</v>
      </c>
      <c r="F248" s="14"/>
      <c r="G248" s="15">
        <v>462228</v>
      </c>
    </row>
    <row r="249" spans="1:7" x14ac:dyDescent="0.3">
      <c r="A249" s="16">
        <v>2021</v>
      </c>
      <c r="B249" s="17" t="s">
        <v>49</v>
      </c>
      <c r="C249" s="17" t="s">
        <v>47</v>
      </c>
      <c r="D249" t="s">
        <v>44</v>
      </c>
      <c r="E249" s="14" t="s">
        <v>62</v>
      </c>
      <c r="F249" s="14"/>
      <c r="G249" s="18">
        <v>531267</v>
      </c>
    </row>
    <row r="250" spans="1:7" x14ac:dyDescent="0.3">
      <c r="A250" s="13">
        <v>2021</v>
      </c>
      <c r="B250" s="14" t="s">
        <v>49</v>
      </c>
      <c r="C250" s="14" t="s">
        <v>47</v>
      </c>
      <c r="D250" t="s">
        <v>44</v>
      </c>
      <c r="E250" s="17" t="s">
        <v>62</v>
      </c>
      <c r="F250" s="14"/>
      <c r="G250" s="15">
        <v>544736</v>
      </c>
    </row>
    <row r="251" spans="1:7" x14ac:dyDescent="0.3">
      <c r="A251" s="16">
        <v>2021</v>
      </c>
      <c r="B251" s="17" t="s">
        <v>49</v>
      </c>
      <c r="C251" s="17" t="s">
        <v>47</v>
      </c>
      <c r="D251" t="s">
        <v>44</v>
      </c>
      <c r="E251" s="14" t="s">
        <v>63</v>
      </c>
      <c r="F251" s="14"/>
      <c r="G251" s="18">
        <v>554545</v>
      </c>
    </row>
    <row r="252" spans="1:7" x14ac:dyDescent="0.3">
      <c r="A252" s="13">
        <v>2021</v>
      </c>
      <c r="B252" s="14" t="s">
        <v>49</v>
      </c>
      <c r="C252" s="14" t="s">
        <v>47</v>
      </c>
      <c r="D252" t="s">
        <v>44</v>
      </c>
      <c r="E252" s="17" t="s">
        <v>64</v>
      </c>
      <c r="F252" s="14"/>
      <c r="G252" s="15">
        <v>656635</v>
      </c>
    </row>
    <row r="253" spans="1:7" x14ac:dyDescent="0.3">
      <c r="A253" s="16">
        <v>2021</v>
      </c>
      <c r="B253" s="17" t="s">
        <v>49</v>
      </c>
      <c r="C253" s="17" t="s">
        <v>47</v>
      </c>
      <c r="D253" t="s">
        <v>44</v>
      </c>
      <c r="E253" s="14" t="s">
        <v>75</v>
      </c>
      <c r="F253" s="14"/>
      <c r="G253" s="18">
        <v>454533</v>
      </c>
    </row>
    <row r="254" spans="1:7" x14ac:dyDescent="0.3">
      <c r="A254" s="13">
        <v>2021</v>
      </c>
      <c r="B254" s="14" t="s">
        <v>49</v>
      </c>
      <c r="C254" s="14" t="s">
        <v>47</v>
      </c>
      <c r="D254" t="s">
        <v>45</v>
      </c>
      <c r="E254" s="14" t="s">
        <v>61</v>
      </c>
      <c r="F254" s="14"/>
      <c r="G254" s="15">
        <v>387672</v>
      </c>
    </row>
    <row r="255" spans="1:7" x14ac:dyDescent="0.3">
      <c r="A255" s="16">
        <v>2021</v>
      </c>
      <c r="B255" s="17" t="s">
        <v>49</v>
      </c>
      <c r="C255" s="17" t="s">
        <v>47</v>
      </c>
      <c r="D255" t="s">
        <v>45</v>
      </c>
      <c r="E255" s="17" t="s">
        <v>61</v>
      </c>
      <c r="F255" s="14"/>
      <c r="G255" s="18">
        <v>164618</v>
      </c>
    </row>
    <row r="256" spans="1:7" x14ac:dyDescent="0.3">
      <c r="A256" s="13">
        <v>2021</v>
      </c>
      <c r="B256" s="14" t="s">
        <v>49</v>
      </c>
      <c r="C256" s="14" t="s">
        <v>47</v>
      </c>
      <c r="D256" t="s">
        <v>45</v>
      </c>
      <c r="E256" s="14" t="s">
        <v>62</v>
      </c>
      <c r="F256" s="14"/>
      <c r="G256" s="15">
        <v>429290</v>
      </c>
    </row>
    <row r="257" spans="1:7" x14ac:dyDescent="0.3">
      <c r="A257" s="16">
        <v>2021</v>
      </c>
      <c r="B257" s="17" t="s">
        <v>49</v>
      </c>
      <c r="C257" s="17" t="s">
        <v>47</v>
      </c>
      <c r="D257" t="s">
        <v>45</v>
      </c>
      <c r="E257" s="17" t="s">
        <v>62</v>
      </c>
      <c r="F257" s="14"/>
      <c r="G257" s="18">
        <v>762430</v>
      </c>
    </row>
    <row r="258" spans="1:7" x14ac:dyDescent="0.3">
      <c r="A258" s="13">
        <v>2021</v>
      </c>
      <c r="B258" s="14" t="s">
        <v>49</v>
      </c>
      <c r="C258" s="14" t="s">
        <v>47</v>
      </c>
      <c r="D258" t="s">
        <v>45</v>
      </c>
      <c r="E258" s="14" t="s">
        <v>62</v>
      </c>
      <c r="F258" s="14"/>
      <c r="G258" s="15">
        <v>541369</v>
      </c>
    </row>
    <row r="259" spans="1:7" x14ac:dyDescent="0.3">
      <c r="A259" s="16">
        <v>2021</v>
      </c>
      <c r="B259" s="17" t="s">
        <v>49</v>
      </c>
      <c r="C259" s="17" t="s">
        <v>47</v>
      </c>
      <c r="D259" t="s">
        <v>45</v>
      </c>
      <c r="E259" s="17" t="s">
        <v>62</v>
      </c>
      <c r="F259" s="14"/>
      <c r="G259" s="18">
        <v>662222</v>
      </c>
    </row>
    <row r="260" spans="1:7" x14ac:dyDescent="0.3">
      <c r="A260" s="13">
        <v>2021</v>
      </c>
      <c r="B260" s="14" t="s">
        <v>49</v>
      </c>
      <c r="C260" s="14" t="s">
        <v>47</v>
      </c>
      <c r="D260" t="s">
        <v>45</v>
      </c>
      <c r="E260" s="14" t="s">
        <v>63</v>
      </c>
      <c r="F260" s="14"/>
      <c r="G260" s="15">
        <v>782166</v>
      </c>
    </row>
    <row r="261" spans="1:7" x14ac:dyDescent="0.3">
      <c r="A261" s="16">
        <v>2021</v>
      </c>
      <c r="B261" s="17" t="s">
        <v>49</v>
      </c>
      <c r="C261" s="17" t="s">
        <v>47</v>
      </c>
      <c r="D261" t="s">
        <v>45</v>
      </c>
      <c r="E261" s="17" t="s">
        <v>64</v>
      </c>
      <c r="F261" s="14"/>
      <c r="G261" s="18">
        <v>636014</v>
      </c>
    </row>
    <row r="262" spans="1:7" x14ac:dyDescent="0.3">
      <c r="A262" s="13">
        <v>2021</v>
      </c>
      <c r="B262" s="14" t="s">
        <v>49</v>
      </c>
      <c r="C262" s="14" t="s">
        <v>47</v>
      </c>
      <c r="D262" t="s">
        <v>45</v>
      </c>
      <c r="E262" s="14" t="s">
        <v>75</v>
      </c>
      <c r="F262" s="14"/>
      <c r="G262" s="15">
        <v>421709</v>
      </c>
    </row>
    <row r="263" spans="1:7" x14ac:dyDescent="0.3">
      <c r="A263" s="16">
        <v>2021</v>
      </c>
      <c r="B263" s="17" t="s">
        <v>49</v>
      </c>
      <c r="C263" s="17" t="s">
        <v>47</v>
      </c>
      <c r="D263" t="s">
        <v>46</v>
      </c>
      <c r="E263" s="14" t="s">
        <v>61</v>
      </c>
      <c r="F263" s="14"/>
      <c r="G263" s="18">
        <v>139792</v>
      </c>
    </row>
    <row r="264" spans="1:7" x14ac:dyDescent="0.3">
      <c r="A264" s="13">
        <v>2021</v>
      </c>
      <c r="B264" s="14" t="s">
        <v>49</v>
      </c>
      <c r="C264" s="14" t="s">
        <v>47</v>
      </c>
      <c r="D264" t="s">
        <v>46</v>
      </c>
      <c r="E264" s="17" t="s">
        <v>61</v>
      </c>
      <c r="F264" s="14"/>
      <c r="G264" s="15">
        <v>47914</v>
      </c>
    </row>
    <row r="265" spans="1:7" x14ac:dyDescent="0.3">
      <c r="A265" s="16">
        <v>2021</v>
      </c>
      <c r="B265" s="17" t="s">
        <v>49</v>
      </c>
      <c r="C265" s="17" t="s">
        <v>47</v>
      </c>
      <c r="D265" t="s">
        <v>46</v>
      </c>
      <c r="E265" s="14" t="s">
        <v>62</v>
      </c>
      <c r="F265" s="14"/>
      <c r="G265" s="18">
        <v>145531</v>
      </c>
    </row>
    <row r="266" spans="1:7" x14ac:dyDescent="0.3">
      <c r="A266" s="13">
        <v>2021</v>
      </c>
      <c r="B266" s="14" t="s">
        <v>49</v>
      </c>
      <c r="C266" s="14" t="s">
        <v>47</v>
      </c>
      <c r="D266" t="s">
        <v>46</v>
      </c>
      <c r="E266" s="17" t="s">
        <v>62</v>
      </c>
      <c r="F266" s="14"/>
      <c r="G266" s="15">
        <v>441489</v>
      </c>
    </row>
    <row r="267" spans="1:7" x14ac:dyDescent="0.3">
      <c r="A267" s="16">
        <v>2021</v>
      </c>
      <c r="B267" s="17" t="s">
        <v>49</v>
      </c>
      <c r="C267" s="17" t="s">
        <v>47</v>
      </c>
      <c r="D267" t="s">
        <v>46</v>
      </c>
      <c r="E267" s="14" t="s">
        <v>62</v>
      </c>
      <c r="F267" s="14"/>
      <c r="G267" s="18">
        <v>712832</v>
      </c>
    </row>
    <row r="268" spans="1:7" x14ac:dyDescent="0.3">
      <c r="A268" s="13">
        <v>2021</v>
      </c>
      <c r="B268" s="14" t="s">
        <v>49</v>
      </c>
      <c r="C268" s="14" t="s">
        <v>47</v>
      </c>
      <c r="D268" t="s">
        <v>46</v>
      </c>
      <c r="E268" s="17" t="s">
        <v>62</v>
      </c>
      <c r="F268" s="14"/>
      <c r="G268" s="15">
        <v>543056</v>
      </c>
    </row>
    <row r="269" spans="1:7" x14ac:dyDescent="0.3">
      <c r="A269" s="16">
        <v>2021</v>
      </c>
      <c r="B269" s="17" t="s">
        <v>49</v>
      </c>
      <c r="C269" s="17" t="s">
        <v>47</v>
      </c>
      <c r="D269" t="s">
        <v>46</v>
      </c>
      <c r="E269" s="14" t="s">
        <v>63</v>
      </c>
      <c r="F269" s="14"/>
      <c r="G269" s="18">
        <v>366103</v>
      </c>
    </row>
    <row r="270" spans="1:7" x14ac:dyDescent="0.3">
      <c r="A270" s="13">
        <v>2021</v>
      </c>
      <c r="B270" s="14" t="s">
        <v>49</v>
      </c>
      <c r="C270" s="14" t="s">
        <v>47</v>
      </c>
      <c r="D270" t="s">
        <v>46</v>
      </c>
      <c r="E270" s="17" t="s">
        <v>64</v>
      </c>
      <c r="F270" s="14"/>
      <c r="G270" s="15">
        <v>512293</v>
      </c>
    </row>
    <row r="271" spans="1:7" x14ac:dyDescent="0.3">
      <c r="A271" s="16">
        <v>2021</v>
      </c>
      <c r="B271" s="17" t="s">
        <v>49</v>
      </c>
      <c r="C271" s="17" t="s">
        <v>47</v>
      </c>
      <c r="D271" t="s">
        <v>46</v>
      </c>
      <c r="E271" s="14" t="s">
        <v>75</v>
      </c>
      <c r="F271" s="14"/>
      <c r="G271" s="18">
        <v>1137919</v>
      </c>
    </row>
    <row r="272" spans="1:7" x14ac:dyDescent="0.3">
      <c r="A272" s="13">
        <v>2021</v>
      </c>
      <c r="B272" s="14" t="s">
        <v>50</v>
      </c>
      <c r="C272" s="14" t="s">
        <v>41</v>
      </c>
      <c r="D272" t="s">
        <v>42</v>
      </c>
      <c r="E272" s="14" t="s">
        <v>76</v>
      </c>
      <c r="F272" s="14"/>
      <c r="G272" s="15">
        <v>315134</v>
      </c>
    </row>
    <row r="273" spans="1:7" x14ac:dyDescent="0.3">
      <c r="A273" s="16">
        <v>2021</v>
      </c>
      <c r="B273" s="17" t="s">
        <v>50</v>
      </c>
      <c r="C273" s="17" t="s">
        <v>41</v>
      </c>
      <c r="D273" t="s">
        <v>42</v>
      </c>
      <c r="E273" s="17" t="s">
        <v>76</v>
      </c>
      <c r="F273" s="14"/>
      <c r="G273" s="18">
        <v>122071</v>
      </c>
    </row>
    <row r="274" spans="1:7" x14ac:dyDescent="0.3">
      <c r="A274" s="13">
        <v>2021</v>
      </c>
      <c r="B274" s="14" t="s">
        <v>50</v>
      </c>
      <c r="C274" s="14" t="s">
        <v>41</v>
      </c>
      <c r="D274" t="s">
        <v>42</v>
      </c>
      <c r="E274" s="14" t="s">
        <v>76</v>
      </c>
      <c r="F274" s="14"/>
      <c r="G274" s="15">
        <v>148195</v>
      </c>
    </row>
    <row r="275" spans="1:7" x14ac:dyDescent="0.3">
      <c r="A275" s="16">
        <v>2021</v>
      </c>
      <c r="B275" s="17" t="s">
        <v>50</v>
      </c>
      <c r="C275" s="17" t="s">
        <v>41</v>
      </c>
      <c r="D275" t="s">
        <v>42</v>
      </c>
      <c r="E275" s="17" t="s">
        <v>76</v>
      </c>
      <c r="F275" s="14"/>
      <c r="G275" s="18">
        <v>158405</v>
      </c>
    </row>
    <row r="276" spans="1:7" x14ac:dyDescent="0.3">
      <c r="A276" s="13">
        <v>2021</v>
      </c>
      <c r="B276" s="14" t="s">
        <v>50</v>
      </c>
      <c r="C276" s="14" t="s">
        <v>41</v>
      </c>
      <c r="D276" t="s">
        <v>42</v>
      </c>
      <c r="E276" s="14" t="s">
        <v>76</v>
      </c>
      <c r="F276" s="14"/>
      <c r="G276" s="15">
        <v>151844</v>
      </c>
    </row>
    <row r="277" spans="1:7" x14ac:dyDescent="0.3">
      <c r="A277" s="16">
        <v>2021</v>
      </c>
      <c r="B277" s="17" t="s">
        <v>50</v>
      </c>
      <c r="C277" s="17" t="s">
        <v>41</v>
      </c>
      <c r="D277" t="s">
        <v>42</v>
      </c>
      <c r="E277" s="17" t="s">
        <v>77</v>
      </c>
      <c r="F277" s="14"/>
      <c r="G277" s="18">
        <v>160596</v>
      </c>
    </row>
    <row r="278" spans="1:7" x14ac:dyDescent="0.3">
      <c r="A278" s="13">
        <v>2021</v>
      </c>
      <c r="B278" s="14" t="s">
        <v>50</v>
      </c>
      <c r="C278" s="14" t="s">
        <v>41</v>
      </c>
      <c r="D278" t="s">
        <v>42</v>
      </c>
      <c r="E278" s="14" t="s">
        <v>77</v>
      </c>
      <c r="F278" s="14"/>
      <c r="G278" s="15">
        <v>141306</v>
      </c>
    </row>
    <row r="279" spans="1:7" x14ac:dyDescent="0.3">
      <c r="A279" s="16">
        <v>2021</v>
      </c>
      <c r="B279" s="17" t="s">
        <v>50</v>
      </c>
      <c r="C279" s="17" t="s">
        <v>41</v>
      </c>
      <c r="D279" t="s">
        <v>42</v>
      </c>
      <c r="E279" s="17" t="s">
        <v>77</v>
      </c>
      <c r="F279" s="14"/>
      <c r="G279" s="18">
        <v>145078</v>
      </c>
    </row>
    <row r="280" spans="1:7" x14ac:dyDescent="0.3">
      <c r="A280" s="13">
        <v>2021</v>
      </c>
      <c r="B280" s="14" t="s">
        <v>50</v>
      </c>
      <c r="C280" s="14" t="s">
        <v>41</v>
      </c>
      <c r="D280" t="s">
        <v>42</v>
      </c>
      <c r="E280" s="14" t="s">
        <v>78</v>
      </c>
      <c r="F280" s="14"/>
      <c r="G280" s="15">
        <v>141550</v>
      </c>
    </row>
    <row r="281" spans="1:7" x14ac:dyDescent="0.3">
      <c r="A281" s="16">
        <v>2021</v>
      </c>
      <c r="B281" s="17" t="s">
        <v>50</v>
      </c>
      <c r="C281" s="17" t="s">
        <v>41</v>
      </c>
      <c r="D281" t="s">
        <v>43</v>
      </c>
      <c r="E281" s="14" t="s">
        <v>76</v>
      </c>
      <c r="F281" s="14"/>
      <c r="G281" s="18">
        <v>367396</v>
      </c>
    </row>
    <row r="282" spans="1:7" x14ac:dyDescent="0.3">
      <c r="A282" s="13">
        <v>2021</v>
      </c>
      <c r="B282" s="14" t="s">
        <v>50</v>
      </c>
      <c r="C282" s="14" t="s">
        <v>41</v>
      </c>
      <c r="D282" t="s">
        <v>43</v>
      </c>
      <c r="E282" s="17" t="s">
        <v>76</v>
      </c>
      <c r="F282" s="14"/>
      <c r="G282" s="15">
        <v>138565</v>
      </c>
    </row>
    <row r="283" spans="1:7" x14ac:dyDescent="0.3">
      <c r="A283" s="16">
        <v>2021</v>
      </c>
      <c r="B283" s="17" t="s">
        <v>50</v>
      </c>
      <c r="C283" s="17" t="s">
        <v>41</v>
      </c>
      <c r="D283" t="s">
        <v>43</v>
      </c>
      <c r="E283" s="14" t="s">
        <v>76</v>
      </c>
      <c r="F283" s="14"/>
      <c r="G283" s="18">
        <v>159979</v>
      </c>
    </row>
    <row r="284" spans="1:7" x14ac:dyDescent="0.3">
      <c r="A284" s="13">
        <v>2021</v>
      </c>
      <c r="B284" s="14" t="s">
        <v>50</v>
      </c>
      <c r="C284" s="14" t="s">
        <v>41</v>
      </c>
      <c r="D284" t="s">
        <v>43</v>
      </c>
      <c r="E284" s="17" t="s">
        <v>76</v>
      </c>
      <c r="F284" s="14"/>
      <c r="G284" s="15">
        <v>187572</v>
      </c>
    </row>
    <row r="285" spans="1:7" x14ac:dyDescent="0.3">
      <c r="A285" s="16">
        <v>2021</v>
      </c>
      <c r="B285" s="17" t="s">
        <v>50</v>
      </c>
      <c r="C285" s="17" t="s">
        <v>41</v>
      </c>
      <c r="D285" t="s">
        <v>43</v>
      </c>
      <c r="E285" s="14" t="s">
        <v>76</v>
      </c>
      <c r="F285" s="14"/>
      <c r="G285" s="18">
        <v>202291</v>
      </c>
    </row>
    <row r="286" spans="1:7" x14ac:dyDescent="0.3">
      <c r="A286" s="13">
        <v>2021</v>
      </c>
      <c r="B286" s="14" t="s">
        <v>50</v>
      </c>
      <c r="C286" s="14" t="s">
        <v>41</v>
      </c>
      <c r="D286" t="s">
        <v>43</v>
      </c>
      <c r="E286" s="17" t="s">
        <v>77</v>
      </c>
      <c r="F286" s="14"/>
      <c r="G286" s="15">
        <v>209261</v>
      </c>
    </row>
    <row r="287" spans="1:7" x14ac:dyDescent="0.3">
      <c r="A287" s="16">
        <v>2021</v>
      </c>
      <c r="B287" s="17" t="s">
        <v>50</v>
      </c>
      <c r="C287" s="17" t="s">
        <v>41</v>
      </c>
      <c r="D287" t="s">
        <v>43</v>
      </c>
      <c r="E287" s="14" t="s">
        <v>77</v>
      </c>
      <c r="F287" s="14"/>
      <c r="G287" s="18">
        <v>161040</v>
      </c>
    </row>
    <row r="288" spans="1:7" x14ac:dyDescent="0.3">
      <c r="A288" s="13">
        <v>2021</v>
      </c>
      <c r="B288" s="14" t="s">
        <v>50</v>
      </c>
      <c r="C288" s="14" t="s">
        <v>41</v>
      </c>
      <c r="D288" t="s">
        <v>43</v>
      </c>
      <c r="E288" s="17" t="s">
        <v>77</v>
      </c>
      <c r="F288" s="14"/>
      <c r="G288" s="15">
        <v>171064</v>
      </c>
    </row>
    <row r="289" spans="1:7" x14ac:dyDescent="0.3">
      <c r="A289" s="16">
        <v>2021</v>
      </c>
      <c r="B289" s="17" t="s">
        <v>50</v>
      </c>
      <c r="C289" s="17" t="s">
        <v>41</v>
      </c>
      <c r="D289" t="s">
        <v>43</v>
      </c>
      <c r="E289" s="14" t="s">
        <v>78</v>
      </c>
      <c r="F289" s="14"/>
      <c r="G289" s="18">
        <v>124467</v>
      </c>
    </row>
    <row r="290" spans="1:7" x14ac:dyDescent="0.3">
      <c r="A290" s="13">
        <v>2021</v>
      </c>
      <c r="B290" s="14" t="s">
        <v>50</v>
      </c>
      <c r="C290" s="14" t="s">
        <v>41</v>
      </c>
      <c r="D290" t="s">
        <v>44</v>
      </c>
      <c r="E290" s="14" t="s">
        <v>76</v>
      </c>
      <c r="F290" s="14"/>
      <c r="G290" s="15">
        <v>1055782</v>
      </c>
    </row>
    <row r="291" spans="1:7" x14ac:dyDescent="0.3">
      <c r="A291" s="16">
        <v>2021</v>
      </c>
      <c r="B291" s="17" t="s">
        <v>50</v>
      </c>
      <c r="C291" s="17" t="s">
        <v>41</v>
      </c>
      <c r="D291" t="s">
        <v>44</v>
      </c>
      <c r="E291" s="17" t="s">
        <v>76</v>
      </c>
      <c r="F291" s="14"/>
      <c r="G291" s="18">
        <v>360318</v>
      </c>
    </row>
    <row r="292" spans="1:7" x14ac:dyDescent="0.3">
      <c r="A292" s="13">
        <v>2021</v>
      </c>
      <c r="B292" s="14" t="s">
        <v>50</v>
      </c>
      <c r="C292" s="14" t="s">
        <v>41</v>
      </c>
      <c r="D292" t="s">
        <v>44</v>
      </c>
      <c r="E292" s="14" t="s">
        <v>76</v>
      </c>
      <c r="F292" s="14"/>
      <c r="G292" s="15">
        <v>413531</v>
      </c>
    </row>
    <row r="293" spans="1:7" x14ac:dyDescent="0.3">
      <c r="A293" s="16">
        <v>2021</v>
      </c>
      <c r="B293" s="17" t="s">
        <v>50</v>
      </c>
      <c r="C293" s="17" t="s">
        <v>41</v>
      </c>
      <c r="D293" t="s">
        <v>44</v>
      </c>
      <c r="E293" s="17" t="s">
        <v>76</v>
      </c>
      <c r="F293" s="14"/>
      <c r="G293" s="18">
        <v>534846</v>
      </c>
    </row>
    <row r="294" spans="1:7" x14ac:dyDescent="0.3">
      <c r="A294" s="13">
        <v>2021</v>
      </c>
      <c r="B294" s="14" t="s">
        <v>50</v>
      </c>
      <c r="C294" s="14" t="s">
        <v>41</v>
      </c>
      <c r="D294" t="s">
        <v>44</v>
      </c>
      <c r="E294" s="14" t="s">
        <v>76</v>
      </c>
      <c r="F294" s="14"/>
      <c r="G294" s="15">
        <v>617233</v>
      </c>
    </row>
    <row r="295" spans="1:7" x14ac:dyDescent="0.3">
      <c r="A295" s="16">
        <v>2021</v>
      </c>
      <c r="B295" s="17" t="s">
        <v>50</v>
      </c>
      <c r="C295" s="17" t="s">
        <v>41</v>
      </c>
      <c r="D295" t="s">
        <v>44</v>
      </c>
      <c r="E295" s="17" t="s">
        <v>77</v>
      </c>
      <c r="F295" s="14"/>
      <c r="G295" s="18">
        <v>618464</v>
      </c>
    </row>
    <row r="296" spans="1:7" x14ac:dyDescent="0.3">
      <c r="A296" s="13">
        <v>2021</v>
      </c>
      <c r="B296" s="14" t="s">
        <v>50</v>
      </c>
      <c r="C296" s="14" t="s">
        <v>41</v>
      </c>
      <c r="D296" t="s">
        <v>44</v>
      </c>
      <c r="E296" s="14" t="s">
        <v>77</v>
      </c>
      <c r="F296" s="14"/>
      <c r="G296" s="15">
        <v>558219</v>
      </c>
    </row>
    <row r="297" spans="1:7" x14ac:dyDescent="0.3">
      <c r="A297" s="16">
        <v>2021</v>
      </c>
      <c r="B297" s="17" t="s">
        <v>50</v>
      </c>
      <c r="C297" s="17" t="s">
        <v>41</v>
      </c>
      <c r="D297" t="s">
        <v>44</v>
      </c>
      <c r="E297" s="17" t="s">
        <v>77</v>
      </c>
      <c r="F297" s="14"/>
      <c r="G297" s="18">
        <v>584600</v>
      </c>
    </row>
    <row r="298" spans="1:7" x14ac:dyDescent="0.3">
      <c r="A298" s="13">
        <v>2021</v>
      </c>
      <c r="B298" s="14" t="s">
        <v>50</v>
      </c>
      <c r="C298" s="14" t="s">
        <v>41</v>
      </c>
      <c r="D298" t="s">
        <v>44</v>
      </c>
      <c r="E298" s="14" t="s">
        <v>78</v>
      </c>
      <c r="F298" s="14"/>
      <c r="G298" s="15">
        <v>326762</v>
      </c>
    </row>
    <row r="299" spans="1:7" x14ac:dyDescent="0.3">
      <c r="A299" s="16">
        <v>2021</v>
      </c>
      <c r="B299" s="17" t="s">
        <v>50</v>
      </c>
      <c r="C299" s="17" t="s">
        <v>41</v>
      </c>
      <c r="D299" t="s">
        <v>45</v>
      </c>
      <c r="E299" s="14" t="s">
        <v>76</v>
      </c>
      <c r="F299" s="14"/>
      <c r="G299" s="18">
        <v>2309658</v>
      </c>
    </row>
    <row r="300" spans="1:7" x14ac:dyDescent="0.3">
      <c r="A300" s="13">
        <v>2021</v>
      </c>
      <c r="B300" s="14" t="s">
        <v>50</v>
      </c>
      <c r="C300" s="14" t="s">
        <v>41</v>
      </c>
      <c r="D300" t="s">
        <v>45</v>
      </c>
      <c r="E300" s="17" t="s">
        <v>76</v>
      </c>
      <c r="F300" s="14"/>
      <c r="G300" s="15">
        <v>673488</v>
      </c>
    </row>
    <row r="301" spans="1:7" x14ac:dyDescent="0.3">
      <c r="A301" s="16">
        <v>2021</v>
      </c>
      <c r="B301" s="17" t="s">
        <v>50</v>
      </c>
      <c r="C301" s="17" t="s">
        <v>41</v>
      </c>
      <c r="D301" t="s">
        <v>45</v>
      </c>
      <c r="E301" s="14" t="s">
        <v>76</v>
      </c>
      <c r="F301" s="14"/>
      <c r="G301" s="18">
        <v>862386</v>
      </c>
    </row>
    <row r="302" spans="1:7" x14ac:dyDescent="0.3">
      <c r="A302" s="13">
        <v>2021</v>
      </c>
      <c r="B302" s="14" t="s">
        <v>50</v>
      </c>
      <c r="C302" s="14" t="s">
        <v>41</v>
      </c>
      <c r="D302" t="s">
        <v>45</v>
      </c>
      <c r="E302" s="17" t="s">
        <v>76</v>
      </c>
      <c r="F302" s="14"/>
      <c r="G302" s="15">
        <v>1209456</v>
      </c>
    </row>
    <row r="303" spans="1:7" x14ac:dyDescent="0.3">
      <c r="A303" s="16">
        <v>2021</v>
      </c>
      <c r="B303" s="17" t="s">
        <v>50</v>
      </c>
      <c r="C303" s="17" t="s">
        <v>41</v>
      </c>
      <c r="D303" t="s">
        <v>45</v>
      </c>
      <c r="E303" s="14" t="s">
        <v>76</v>
      </c>
      <c r="F303" s="14"/>
      <c r="G303" s="18">
        <v>1471087</v>
      </c>
    </row>
    <row r="304" spans="1:7" x14ac:dyDescent="0.3">
      <c r="A304" s="13">
        <v>2021</v>
      </c>
      <c r="B304" s="14" t="s">
        <v>50</v>
      </c>
      <c r="C304" s="14" t="s">
        <v>41</v>
      </c>
      <c r="D304" t="s">
        <v>45</v>
      </c>
      <c r="E304" s="17" t="s">
        <v>77</v>
      </c>
      <c r="F304" s="14"/>
      <c r="G304" s="15">
        <v>1510019</v>
      </c>
    </row>
    <row r="305" spans="1:7" x14ac:dyDescent="0.3">
      <c r="A305" s="16">
        <v>2021</v>
      </c>
      <c r="B305" s="17" t="s">
        <v>50</v>
      </c>
      <c r="C305" s="17" t="s">
        <v>41</v>
      </c>
      <c r="D305" t="s">
        <v>45</v>
      </c>
      <c r="E305" s="14" t="s">
        <v>77</v>
      </c>
      <c r="F305" s="14"/>
      <c r="G305" s="18">
        <v>1219234</v>
      </c>
    </row>
    <row r="306" spans="1:7" x14ac:dyDescent="0.3">
      <c r="A306" s="13">
        <v>2021</v>
      </c>
      <c r="B306" s="14" t="s">
        <v>50</v>
      </c>
      <c r="C306" s="14" t="s">
        <v>41</v>
      </c>
      <c r="D306" t="s">
        <v>45</v>
      </c>
      <c r="E306" s="17" t="s">
        <v>77</v>
      </c>
      <c r="F306" s="14"/>
      <c r="G306" s="15">
        <v>1381420</v>
      </c>
    </row>
    <row r="307" spans="1:7" x14ac:dyDescent="0.3">
      <c r="A307" s="16">
        <v>2021</v>
      </c>
      <c r="B307" s="17" t="s">
        <v>50</v>
      </c>
      <c r="C307" s="17" t="s">
        <v>41</v>
      </c>
      <c r="D307" t="s">
        <v>45</v>
      </c>
      <c r="E307" s="14" t="s">
        <v>78</v>
      </c>
      <c r="F307" s="14"/>
      <c r="G307" s="18">
        <v>793067</v>
      </c>
    </row>
    <row r="308" spans="1:7" x14ac:dyDescent="0.3">
      <c r="A308" s="13">
        <v>2021</v>
      </c>
      <c r="B308" s="14" t="s">
        <v>50</v>
      </c>
      <c r="C308" s="14" t="s">
        <v>41</v>
      </c>
      <c r="D308" t="s">
        <v>46</v>
      </c>
      <c r="E308" s="14" t="s">
        <v>76</v>
      </c>
      <c r="F308" s="14"/>
      <c r="G308" s="15">
        <v>5904653</v>
      </c>
    </row>
    <row r="309" spans="1:7" x14ac:dyDescent="0.3">
      <c r="A309" s="16">
        <v>2021</v>
      </c>
      <c r="B309" s="17" t="s">
        <v>50</v>
      </c>
      <c r="C309" s="17" t="s">
        <v>41</v>
      </c>
      <c r="D309" t="s">
        <v>46</v>
      </c>
      <c r="E309" s="17" t="s">
        <v>76</v>
      </c>
      <c r="F309" s="14"/>
      <c r="G309" s="18">
        <v>1942399</v>
      </c>
    </row>
    <row r="310" spans="1:7" x14ac:dyDescent="0.3">
      <c r="A310" s="13">
        <v>2021</v>
      </c>
      <c r="B310" s="14" t="s">
        <v>50</v>
      </c>
      <c r="C310" s="14" t="s">
        <v>41</v>
      </c>
      <c r="D310" t="s">
        <v>46</v>
      </c>
      <c r="E310" s="14" t="s">
        <v>76</v>
      </c>
      <c r="F310" s="14"/>
      <c r="G310" s="15">
        <v>2496472</v>
      </c>
    </row>
    <row r="311" spans="1:7" x14ac:dyDescent="0.3">
      <c r="A311" s="16">
        <v>2021</v>
      </c>
      <c r="B311" s="17" t="s">
        <v>50</v>
      </c>
      <c r="C311" s="17" t="s">
        <v>41</v>
      </c>
      <c r="D311" t="s">
        <v>46</v>
      </c>
      <c r="E311" s="17" t="s">
        <v>76</v>
      </c>
      <c r="F311" s="14"/>
      <c r="G311" s="18">
        <v>4299589</v>
      </c>
    </row>
    <row r="312" spans="1:7" x14ac:dyDescent="0.3">
      <c r="A312" s="13">
        <v>2021</v>
      </c>
      <c r="B312" s="14" t="s">
        <v>50</v>
      </c>
      <c r="C312" s="14" t="s">
        <v>41</v>
      </c>
      <c r="D312" t="s">
        <v>46</v>
      </c>
      <c r="E312" s="14" t="s">
        <v>76</v>
      </c>
      <c r="F312" s="14"/>
      <c r="G312" s="15">
        <v>7650492</v>
      </c>
    </row>
    <row r="313" spans="1:7" x14ac:dyDescent="0.3">
      <c r="A313" s="16">
        <v>2021</v>
      </c>
      <c r="B313" s="17" t="s">
        <v>50</v>
      </c>
      <c r="C313" s="17" t="s">
        <v>41</v>
      </c>
      <c r="D313" t="s">
        <v>46</v>
      </c>
      <c r="E313" s="17" t="s">
        <v>77</v>
      </c>
      <c r="F313" s="14"/>
      <c r="G313" s="18">
        <v>7125779</v>
      </c>
    </row>
    <row r="314" spans="1:7" x14ac:dyDescent="0.3">
      <c r="A314" s="13">
        <v>2021</v>
      </c>
      <c r="B314" s="14" t="s">
        <v>50</v>
      </c>
      <c r="C314" s="14" t="s">
        <v>41</v>
      </c>
      <c r="D314" t="s">
        <v>46</v>
      </c>
      <c r="E314" s="14" t="s">
        <v>77</v>
      </c>
      <c r="F314" s="14"/>
      <c r="G314" s="15">
        <v>4263428</v>
      </c>
    </row>
    <row r="315" spans="1:7" x14ac:dyDescent="0.3">
      <c r="A315" s="16">
        <v>2021</v>
      </c>
      <c r="B315" s="17" t="s">
        <v>50</v>
      </c>
      <c r="C315" s="17" t="s">
        <v>41</v>
      </c>
      <c r="D315" t="s">
        <v>46</v>
      </c>
      <c r="E315" s="17" t="s">
        <v>77</v>
      </c>
      <c r="F315" s="14"/>
      <c r="G315" s="18">
        <v>5332037</v>
      </c>
    </row>
    <row r="316" spans="1:7" x14ac:dyDescent="0.3">
      <c r="A316" s="13">
        <v>2021</v>
      </c>
      <c r="B316" s="14" t="s">
        <v>50</v>
      </c>
      <c r="C316" s="14" t="s">
        <v>41</v>
      </c>
      <c r="D316" t="s">
        <v>46</v>
      </c>
      <c r="E316" s="14" t="s">
        <v>78</v>
      </c>
      <c r="F316" s="14"/>
      <c r="G316" s="15">
        <v>3190232</v>
      </c>
    </row>
    <row r="317" spans="1:7" x14ac:dyDescent="0.3">
      <c r="A317" s="16">
        <v>2021</v>
      </c>
      <c r="B317" s="17" t="s">
        <v>50</v>
      </c>
      <c r="C317" s="17" t="s">
        <v>47</v>
      </c>
      <c r="D317" t="s">
        <v>42</v>
      </c>
      <c r="E317" s="14" t="s">
        <v>61</v>
      </c>
      <c r="F317" s="14"/>
      <c r="G317" s="18">
        <v>6820439</v>
      </c>
    </row>
    <row r="318" spans="1:7" x14ac:dyDescent="0.3">
      <c r="A318" s="13">
        <v>2021</v>
      </c>
      <c r="B318" s="14" t="s">
        <v>50</v>
      </c>
      <c r="C318" s="14" t="s">
        <v>47</v>
      </c>
      <c r="D318" t="s">
        <v>42</v>
      </c>
      <c r="E318" s="17" t="s">
        <v>61</v>
      </c>
      <c r="F318" s="14"/>
      <c r="G318" s="15">
        <v>3877828</v>
      </c>
    </row>
    <row r="319" spans="1:7" x14ac:dyDescent="0.3">
      <c r="A319" s="16">
        <v>2021</v>
      </c>
      <c r="B319" s="17" t="s">
        <v>50</v>
      </c>
      <c r="C319" s="17" t="s">
        <v>47</v>
      </c>
      <c r="D319" t="s">
        <v>42</v>
      </c>
      <c r="E319" s="14" t="s">
        <v>62</v>
      </c>
      <c r="F319" s="14"/>
      <c r="G319" s="18">
        <v>4204538</v>
      </c>
    </row>
    <row r="320" spans="1:7" x14ac:dyDescent="0.3">
      <c r="A320" s="13">
        <v>2021</v>
      </c>
      <c r="B320" s="14" t="s">
        <v>50</v>
      </c>
      <c r="C320" s="14" t="s">
        <v>47</v>
      </c>
      <c r="D320" t="s">
        <v>42</v>
      </c>
      <c r="E320" s="17" t="s">
        <v>62</v>
      </c>
      <c r="F320" s="14"/>
      <c r="G320" s="15">
        <v>5486568</v>
      </c>
    </row>
    <row r="321" spans="1:7" x14ac:dyDescent="0.3">
      <c r="A321" s="16">
        <v>2021</v>
      </c>
      <c r="B321" s="17" t="s">
        <v>50</v>
      </c>
      <c r="C321" s="17" t="s">
        <v>47</v>
      </c>
      <c r="D321" t="s">
        <v>42</v>
      </c>
      <c r="E321" s="14" t="s">
        <v>62</v>
      </c>
      <c r="F321" s="14"/>
      <c r="G321" s="18">
        <v>6816198</v>
      </c>
    </row>
    <row r="322" spans="1:7" x14ac:dyDescent="0.3">
      <c r="A322" s="13">
        <v>2021</v>
      </c>
      <c r="B322" s="14" t="s">
        <v>50</v>
      </c>
      <c r="C322" s="14" t="s">
        <v>47</v>
      </c>
      <c r="D322" t="s">
        <v>42</v>
      </c>
      <c r="E322" s="17" t="s">
        <v>62</v>
      </c>
      <c r="F322" s="14"/>
      <c r="G322" s="15">
        <v>6964730</v>
      </c>
    </row>
    <row r="323" spans="1:7" x14ac:dyDescent="0.3">
      <c r="A323" s="16">
        <v>2021</v>
      </c>
      <c r="B323" s="17" t="s">
        <v>50</v>
      </c>
      <c r="C323" s="17" t="s">
        <v>47</v>
      </c>
      <c r="D323" t="s">
        <v>42</v>
      </c>
      <c r="E323" s="14" t="s">
        <v>63</v>
      </c>
      <c r="F323" s="14"/>
      <c r="G323" s="18">
        <v>5894448</v>
      </c>
    </row>
    <row r="324" spans="1:7" x14ac:dyDescent="0.3">
      <c r="A324" s="13">
        <v>2021</v>
      </c>
      <c r="B324" s="14" t="s">
        <v>50</v>
      </c>
      <c r="C324" s="14" t="s">
        <v>47</v>
      </c>
      <c r="D324" t="s">
        <v>42</v>
      </c>
      <c r="E324" s="17" t="s">
        <v>64</v>
      </c>
      <c r="F324" s="14"/>
      <c r="G324" s="15">
        <v>4807293</v>
      </c>
    </row>
    <row r="325" spans="1:7" x14ac:dyDescent="0.3">
      <c r="A325" s="16">
        <v>2021</v>
      </c>
      <c r="B325" s="17" t="s">
        <v>50</v>
      </c>
      <c r="C325" s="17" t="s">
        <v>47</v>
      </c>
      <c r="D325" t="s">
        <v>42</v>
      </c>
      <c r="E325" s="14" t="s">
        <v>75</v>
      </c>
      <c r="F325" s="14"/>
      <c r="G325" s="18">
        <v>3256581</v>
      </c>
    </row>
    <row r="326" spans="1:7" x14ac:dyDescent="0.3">
      <c r="A326" s="13">
        <v>2021</v>
      </c>
      <c r="B326" s="14" t="s">
        <v>50</v>
      </c>
      <c r="C326" s="14" t="s">
        <v>47</v>
      </c>
      <c r="D326" t="s">
        <v>43</v>
      </c>
      <c r="E326" s="14" t="s">
        <v>61</v>
      </c>
      <c r="F326" s="14"/>
      <c r="G326" s="15">
        <v>2529241</v>
      </c>
    </row>
    <row r="327" spans="1:7" x14ac:dyDescent="0.3">
      <c r="A327" s="16">
        <v>2021</v>
      </c>
      <c r="B327" s="17" t="s">
        <v>50</v>
      </c>
      <c r="C327" s="17" t="s">
        <v>47</v>
      </c>
      <c r="D327" t="s">
        <v>43</v>
      </c>
      <c r="E327" s="17" t="s">
        <v>61</v>
      </c>
      <c r="F327" s="14"/>
      <c r="G327" s="18">
        <v>1094844</v>
      </c>
    </row>
    <row r="328" spans="1:7" x14ac:dyDescent="0.3">
      <c r="A328" s="13">
        <v>2021</v>
      </c>
      <c r="B328" s="14" t="s">
        <v>50</v>
      </c>
      <c r="C328" s="14" t="s">
        <v>47</v>
      </c>
      <c r="D328" t="s">
        <v>43</v>
      </c>
      <c r="E328" s="14" t="s">
        <v>62</v>
      </c>
      <c r="F328" s="14"/>
      <c r="G328" s="15">
        <v>1278399</v>
      </c>
    </row>
    <row r="329" spans="1:7" x14ac:dyDescent="0.3">
      <c r="A329" s="16">
        <v>2021</v>
      </c>
      <c r="B329" s="17" t="s">
        <v>50</v>
      </c>
      <c r="C329" s="17" t="s">
        <v>47</v>
      </c>
      <c r="D329" t="s">
        <v>43</v>
      </c>
      <c r="E329" s="17" t="s">
        <v>62</v>
      </c>
      <c r="F329" s="14"/>
      <c r="G329" s="18">
        <v>2009828</v>
      </c>
    </row>
    <row r="330" spans="1:7" x14ac:dyDescent="0.3">
      <c r="A330" s="13">
        <v>2021</v>
      </c>
      <c r="B330" s="14" t="s">
        <v>50</v>
      </c>
      <c r="C330" s="14" t="s">
        <v>47</v>
      </c>
      <c r="D330" t="s">
        <v>43</v>
      </c>
      <c r="E330" s="14" t="s">
        <v>62</v>
      </c>
      <c r="F330" s="14"/>
      <c r="G330" s="15">
        <v>2731923</v>
      </c>
    </row>
    <row r="331" spans="1:7" x14ac:dyDescent="0.3">
      <c r="A331" s="16">
        <v>2021</v>
      </c>
      <c r="B331" s="17" t="s">
        <v>50</v>
      </c>
      <c r="C331" s="17" t="s">
        <v>47</v>
      </c>
      <c r="D331" t="s">
        <v>43</v>
      </c>
      <c r="E331" s="17" t="s">
        <v>62</v>
      </c>
      <c r="F331" s="14"/>
      <c r="G331" s="18">
        <v>2569077</v>
      </c>
    </row>
    <row r="332" spans="1:7" x14ac:dyDescent="0.3">
      <c r="A332" s="13">
        <v>2021</v>
      </c>
      <c r="B332" s="14" t="s">
        <v>50</v>
      </c>
      <c r="C332" s="14" t="s">
        <v>47</v>
      </c>
      <c r="D332" t="s">
        <v>43</v>
      </c>
      <c r="E332" s="14" t="s">
        <v>63</v>
      </c>
      <c r="F332" s="14"/>
      <c r="G332" s="15">
        <v>2123136</v>
      </c>
    </row>
    <row r="333" spans="1:7" x14ac:dyDescent="0.3">
      <c r="A333" s="16">
        <v>2021</v>
      </c>
      <c r="B333" s="17" t="s">
        <v>50</v>
      </c>
      <c r="C333" s="17" t="s">
        <v>47</v>
      </c>
      <c r="D333" t="s">
        <v>43</v>
      </c>
      <c r="E333" s="17" t="s">
        <v>64</v>
      </c>
      <c r="F333" s="14"/>
      <c r="G333" s="18">
        <v>3502222</v>
      </c>
    </row>
    <row r="334" spans="1:7" x14ac:dyDescent="0.3">
      <c r="A334" s="13">
        <v>2021</v>
      </c>
      <c r="B334" s="14" t="s">
        <v>50</v>
      </c>
      <c r="C334" s="14" t="s">
        <v>47</v>
      </c>
      <c r="D334" t="s">
        <v>43</v>
      </c>
      <c r="E334" s="14" t="s">
        <v>75</v>
      </c>
      <c r="F334" s="14"/>
      <c r="G334" s="15">
        <v>3314317</v>
      </c>
    </row>
    <row r="335" spans="1:7" x14ac:dyDescent="0.3">
      <c r="A335" s="16">
        <v>2021</v>
      </c>
      <c r="B335" s="17" t="s">
        <v>50</v>
      </c>
      <c r="C335" s="17" t="s">
        <v>47</v>
      </c>
      <c r="D335" t="s">
        <v>44</v>
      </c>
      <c r="E335" s="14" t="s">
        <v>61</v>
      </c>
      <c r="F335" s="14"/>
      <c r="G335" s="18">
        <v>2363200</v>
      </c>
    </row>
    <row r="336" spans="1:7" x14ac:dyDescent="0.3">
      <c r="A336" s="13">
        <v>2021</v>
      </c>
      <c r="B336" s="14" t="s">
        <v>50</v>
      </c>
      <c r="C336" s="14" t="s">
        <v>47</v>
      </c>
      <c r="D336" t="s">
        <v>44</v>
      </c>
      <c r="E336" s="17" t="s">
        <v>61</v>
      </c>
      <c r="F336" s="14"/>
      <c r="G336" s="15">
        <v>830435</v>
      </c>
    </row>
    <row r="337" spans="1:7" x14ac:dyDescent="0.3">
      <c r="A337" s="16">
        <v>2021</v>
      </c>
      <c r="B337" s="17" t="s">
        <v>50</v>
      </c>
      <c r="C337" s="17" t="s">
        <v>47</v>
      </c>
      <c r="D337" t="s">
        <v>44</v>
      </c>
      <c r="E337" s="14" t="s">
        <v>62</v>
      </c>
      <c r="F337" s="14"/>
      <c r="G337" s="18">
        <v>902304</v>
      </c>
    </row>
    <row r="338" spans="1:7" x14ac:dyDescent="0.3">
      <c r="A338" s="13">
        <v>2021</v>
      </c>
      <c r="B338" s="14" t="s">
        <v>50</v>
      </c>
      <c r="C338" s="14" t="s">
        <v>47</v>
      </c>
      <c r="D338" t="s">
        <v>44</v>
      </c>
      <c r="E338" s="17" t="s">
        <v>62</v>
      </c>
      <c r="F338" s="14"/>
      <c r="G338" s="15">
        <v>1248738</v>
      </c>
    </row>
    <row r="339" spans="1:7" x14ac:dyDescent="0.3">
      <c r="A339" s="16">
        <v>2021</v>
      </c>
      <c r="B339" s="17" t="s">
        <v>50</v>
      </c>
      <c r="C339" s="17" t="s">
        <v>47</v>
      </c>
      <c r="D339" t="s">
        <v>44</v>
      </c>
      <c r="E339" s="14" t="s">
        <v>62</v>
      </c>
      <c r="F339" s="14"/>
      <c r="G339" s="18">
        <v>1738031</v>
      </c>
    </row>
    <row r="340" spans="1:7" x14ac:dyDescent="0.3">
      <c r="A340" s="13">
        <v>2021</v>
      </c>
      <c r="B340" s="14" t="s">
        <v>50</v>
      </c>
      <c r="C340" s="14" t="s">
        <v>47</v>
      </c>
      <c r="D340" t="s">
        <v>44</v>
      </c>
      <c r="E340" s="17" t="s">
        <v>62</v>
      </c>
      <c r="F340" s="14"/>
      <c r="G340" s="15">
        <v>1972144</v>
      </c>
    </row>
    <row r="341" spans="1:7" x14ac:dyDescent="0.3">
      <c r="A341" s="16">
        <v>2021</v>
      </c>
      <c r="B341" s="17" t="s">
        <v>50</v>
      </c>
      <c r="C341" s="17" t="s">
        <v>47</v>
      </c>
      <c r="D341" t="s">
        <v>44</v>
      </c>
      <c r="E341" s="14" t="s">
        <v>63</v>
      </c>
      <c r="F341" s="14"/>
      <c r="G341" s="18">
        <v>1971550</v>
      </c>
    </row>
    <row r="342" spans="1:7" x14ac:dyDescent="0.3">
      <c r="A342" s="13">
        <v>2021</v>
      </c>
      <c r="B342" s="14" t="s">
        <v>50</v>
      </c>
      <c r="C342" s="14" t="s">
        <v>47</v>
      </c>
      <c r="D342" t="s">
        <v>44</v>
      </c>
      <c r="E342" s="17" t="s">
        <v>64</v>
      </c>
      <c r="F342" s="14"/>
      <c r="G342" s="15">
        <v>2926580</v>
      </c>
    </row>
    <row r="343" spans="1:7" x14ac:dyDescent="0.3">
      <c r="A343" s="16">
        <v>2021</v>
      </c>
      <c r="B343" s="17" t="s">
        <v>50</v>
      </c>
      <c r="C343" s="17" t="s">
        <v>47</v>
      </c>
      <c r="D343" t="s">
        <v>44</v>
      </c>
      <c r="E343" s="14" t="s">
        <v>75</v>
      </c>
      <c r="F343" s="14"/>
      <c r="G343" s="18">
        <v>2409862</v>
      </c>
    </row>
    <row r="344" spans="1:7" x14ac:dyDescent="0.3">
      <c r="A344" s="13">
        <v>2021</v>
      </c>
      <c r="B344" s="14" t="s">
        <v>50</v>
      </c>
      <c r="C344" s="14" t="s">
        <v>47</v>
      </c>
      <c r="D344" t="s">
        <v>45</v>
      </c>
      <c r="E344" s="14" t="s">
        <v>61</v>
      </c>
      <c r="F344" s="14"/>
      <c r="G344" s="15">
        <v>1798562</v>
      </c>
    </row>
    <row r="345" spans="1:7" x14ac:dyDescent="0.3">
      <c r="A345" s="16">
        <v>2021</v>
      </c>
      <c r="B345" s="17" t="s">
        <v>50</v>
      </c>
      <c r="C345" s="17" t="s">
        <v>47</v>
      </c>
      <c r="D345" t="s">
        <v>45</v>
      </c>
      <c r="E345" s="17" t="s">
        <v>61</v>
      </c>
      <c r="F345" s="14"/>
      <c r="G345" s="18">
        <v>544353</v>
      </c>
    </row>
    <row r="346" spans="1:7" x14ac:dyDescent="0.3">
      <c r="A346" s="13">
        <v>2021</v>
      </c>
      <c r="B346" s="14" t="s">
        <v>50</v>
      </c>
      <c r="C346" s="14" t="s">
        <v>47</v>
      </c>
      <c r="D346" t="s">
        <v>45</v>
      </c>
      <c r="E346" s="14" t="s">
        <v>62</v>
      </c>
      <c r="F346" s="14"/>
      <c r="G346" s="15">
        <v>811582</v>
      </c>
    </row>
    <row r="347" spans="1:7" x14ac:dyDescent="0.3">
      <c r="A347" s="16">
        <v>2021</v>
      </c>
      <c r="B347" s="17" t="s">
        <v>50</v>
      </c>
      <c r="C347" s="17" t="s">
        <v>47</v>
      </c>
      <c r="D347" t="s">
        <v>45</v>
      </c>
      <c r="E347" s="17" t="s">
        <v>62</v>
      </c>
      <c r="F347" s="14"/>
      <c r="G347" s="18">
        <v>1450103</v>
      </c>
    </row>
    <row r="348" spans="1:7" x14ac:dyDescent="0.3">
      <c r="A348" s="13">
        <v>2021</v>
      </c>
      <c r="B348" s="14" t="s">
        <v>50</v>
      </c>
      <c r="C348" s="14" t="s">
        <v>47</v>
      </c>
      <c r="D348" t="s">
        <v>45</v>
      </c>
      <c r="E348" s="14" t="s">
        <v>62</v>
      </c>
      <c r="F348" s="14"/>
      <c r="G348" s="15">
        <v>1323053</v>
      </c>
    </row>
    <row r="349" spans="1:7" x14ac:dyDescent="0.3">
      <c r="A349" s="16">
        <v>2021</v>
      </c>
      <c r="B349" s="17" t="s">
        <v>50</v>
      </c>
      <c r="C349" s="17" t="s">
        <v>47</v>
      </c>
      <c r="D349" t="s">
        <v>45</v>
      </c>
      <c r="E349" s="17" t="s">
        <v>62</v>
      </c>
      <c r="F349" s="14"/>
      <c r="G349" s="18">
        <v>1330466</v>
      </c>
    </row>
    <row r="350" spans="1:7" x14ac:dyDescent="0.3">
      <c r="A350" s="13">
        <v>2021</v>
      </c>
      <c r="B350" s="14" t="s">
        <v>50</v>
      </c>
      <c r="C350" s="14" t="s">
        <v>47</v>
      </c>
      <c r="D350" t="s">
        <v>45</v>
      </c>
      <c r="E350" s="14" t="s">
        <v>63</v>
      </c>
      <c r="F350" s="14"/>
      <c r="G350" s="15">
        <v>1700312</v>
      </c>
    </row>
    <row r="351" spans="1:7" x14ac:dyDescent="0.3">
      <c r="A351" s="16">
        <v>2021</v>
      </c>
      <c r="B351" s="17" t="s">
        <v>50</v>
      </c>
      <c r="C351" s="17" t="s">
        <v>47</v>
      </c>
      <c r="D351" t="s">
        <v>45</v>
      </c>
      <c r="E351" s="17" t="s">
        <v>64</v>
      </c>
      <c r="F351" s="14"/>
      <c r="G351" s="18">
        <v>1934746</v>
      </c>
    </row>
    <row r="352" spans="1:7" x14ac:dyDescent="0.3">
      <c r="A352" s="13">
        <v>2021</v>
      </c>
      <c r="B352" s="14" t="s">
        <v>50</v>
      </c>
      <c r="C352" s="14" t="s">
        <v>47</v>
      </c>
      <c r="D352" t="s">
        <v>45</v>
      </c>
      <c r="E352" s="14" t="s">
        <v>75</v>
      </c>
      <c r="F352" s="14"/>
      <c r="G352" s="15">
        <v>1217090</v>
      </c>
    </row>
    <row r="353" spans="1:7" x14ac:dyDescent="0.3">
      <c r="A353" s="16">
        <v>2021</v>
      </c>
      <c r="B353" s="17" t="s">
        <v>50</v>
      </c>
      <c r="C353" s="17" t="s">
        <v>47</v>
      </c>
      <c r="D353" t="s">
        <v>46</v>
      </c>
      <c r="E353" s="14" t="s">
        <v>61</v>
      </c>
      <c r="F353" s="14"/>
      <c r="G353" s="18">
        <v>1180309</v>
      </c>
    </row>
    <row r="354" spans="1:7" x14ac:dyDescent="0.3">
      <c r="A354" s="13">
        <v>2021</v>
      </c>
      <c r="B354" s="14" t="s">
        <v>50</v>
      </c>
      <c r="C354" s="14" t="s">
        <v>47</v>
      </c>
      <c r="D354" t="s">
        <v>46</v>
      </c>
      <c r="E354" s="17" t="s">
        <v>61</v>
      </c>
      <c r="F354" s="14"/>
      <c r="G354" s="15">
        <v>208912</v>
      </c>
    </row>
    <row r="355" spans="1:7" x14ac:dyDescent="0.3">
      <c r="A355" s="16">
        <v>2021</v>
      </c>
      <c r="B355" s="17" t="s">
        <v>50</v>
      </c>
      <c r="C355" s="17" t="s">
        <v>47</v>
      </c>
      <c r="D355" t="s">
        <v>46</v>
      </c>
      <c r="E355" s="14" t="s">
        <v>62</v>
      </c>
      <c r="F355" s="14"/>
      <c r="G355" s="18">
        <v>344735</v>
      </c>
    </row>
    <row r="356" spans="1:7" x14ac:dyDescent="0.3">
      <c r="A356" s="13">
        <v>2021</v>
      </c>
      <c r="B356" s="14" t="s">
        <v>50</v>
      </c>
      <c r="C356" s="14" t="s">
        <v>47</v>
      </c>
      <c r="D356" t="s">
        <v>46</v>
      </c>
      <c r="E356" s="17" t="s">
        <v>62</v>
      </c>
      <c r="F356" s="14"/>
      <c r="G356" s="15">
        <v>902995</v>
      </c>
    </row>
    <row r="357" spans="1:7" x14ac:dyDescent="0.3">
      <c r="A357" s="16">
        <v>2021</v>
      </c>
      <c r="B357" s="17" t="s">
        <v>50</v>
      </c>
      <c r="C357" s="17" t="s">
        <v>47</v>
      </c>
      <c r="D357" t="s">
        <v>46</v>
      </c>
      <c r="E357" s="14" t="s">
        <v>62</v>
      </c>
      <c r="F357" s="14"/>
      <c r="G357" s="18">
        <v>1793305</v>
      </c>
    </row>
    <row r="358" spans="1:7" x14ac:dyDescent="0.3">
      <c r="A358" s="13">
        <v>2021</v>
      </c>
      <c r="B358" s="14" t="s">
        <v>50</v>
      </c>
      <c r="C358" s="14" t="s">
        <v>47</v>
      </c>
      <c r="D358" t="s">
        <v>46</v>
      </c>
      <c r="E358" s="17" t="s">
        <v>62</v>
      </c>
      <c r="F358" s="14"/>
      <c r="G358" s="15">
        <v>1132145</v>
      </c>
    </row>
    <row r="359" spans="1:7" x14ac:dyDescent="0.3">
      <c r="A359" s="16">
        <v>2021</v>
      </c>
      <c r="B359" s="17" t="s">
        <v>50</v>
      </c>
      <c r="C359" s="17" t="s">
        <v>47</v>
      </c>
      <c r="D359" t="s">
        <v>46</v>
      </c>
      <c r="E359" s="14" t="s">
        <v>63</v>
      </c>
      <c r="F359" s="14"/>
      <c r="G359" s="18">
        <v>1118581</v>
      </c>
    </row>
    <row r="360" spans="1:7" x14ac:dyDescent="0.3">
      <c r="A360" s="13">
        <v>2021</v>
      </c>
      <c r="B360" s="14" t="s">
        <v>50</v>
      </c>
      <c r="C360" s="14" t="s">
        <v>47</v>
      </c>
      <c r="D360" t="s">
        <v>46</v>
      </c>
      <c r="E360" s="17" t="s">
        <v>64</v>
      </c>
      <c r="F360" s="14"/>
      <c r="G360" s="15">
        <v>2020047</v>
      </c>
    </row>
    <row r="361" spans="1:7" x14ac:dyDescent="0.3">
      <c r="A361" s="16">
        <v>2021</v>
      </c>
      <c r="B361" s="17" t="s">
        <v>50</v>
      </c>
      <c r="C361" s="17" t="s">
        <v>47</v>
      </c>
      <c r="D361" t="s">
        <v>46</v>
      </c>
      <c r="E361" s="14" t="s">
        <v>75</v>
      </c>
      <c r="F361" s="14"/>
      <c r="G361" s="18">
        <v>3544223</v>
      </c>
    </row>
    <row r="362" spans="1:7" x14ac:dyDescent="0.3">
      <c r="A362" s="13">
        <v>2021</v>
      </c>
      <c r="B362" s="14" t="s">
        <v>51</v>
      </c>
      <c r="C362" s="14" t="s">
        <v>41</v>
      </c>
      <c r="D362" t="s">
        <v>42</v>
      </c>
      <c r="E362" s="14" t="s">
        <v>76</v>
      </c>
      <c r="F362" s="14"/>
      <c r="G362" s="15">
        <v>129659</v>
      </c>
    </row>
    <row r="363" spans="1:7" x14ac:dyDescent="0.3">
      <c r="A363" s="16">
        <v>2021</v>
      </c>
      <c r="B363" s="17" t="s">
        <v>51</v>
      </c>
      <c r="C363" s="17" t="s">
        <v>41</v>
      </c>
      <c r="D363" t="s">
        <v>42</v>
      </c>
      <c r="E363" s="17" t="s">
        <v>76</v>
      </c>
      <c r="F363" s="14"/>
      <c r="G363" s="18">
        <v>46436</v>
      </c>
    </row>
    <row r="364" spans="1:7" x14ac:dyDescent="0.3">
      <c r="A364" s="13">
        <v>2021</v>
      </c>
      <c r="B364" s="14" t="s">
        <v>51</v>
      </c>
      <c r="C364" s="14" t="s">
        <v>41</v>
      </c>
      <c r="D364" t="s">
        <v>42</v>
      </c>
      <c r="E364" s="14" t="s">
        <v>76</v>
      </c>
      <c r="F364" s="14"/>
      <c r="G364" s="15">
        <v>93020</v>
      </c>
    </row>
    <row r="365" spans="1:7" x14ac:dyDescent="0.3">
      <c r="A365" s="16">
        <v>2021</v>
      </c>
      <c r="B365" s="17" t="s">
        <v>51</v>
      </c>
      <c r="C365" s="17" t="s">
        <v>41</v>
      </c>
      <c r="D365" t="s">
        <v>42</v>
      </c>
      <c r="E365" s="17" t="s">
        <v>76</v>
      </c>
      <c r="F365" s="14"/>
      <c r="G365" s="18">
        <v>98433</v>
      </c>
    </row>
    <row r="366" spans="1:7" x14ac:dyDescent="0.3">
      <c r="A366" s="13">
        <v>2021</v>
      </c>
      <c r="B366" s="14" t="s">
        <v>51</v>
      </c>
      <c r="C366" s="14" t="s">
        <v>41</v>
      </c>
      <c r="D366" t="s">
        <v>42</v>
      </c>
      <c r="E366" s="14" t="s">
        <v>76</v>
      </c>
      <c r="F366" s="14"/>
      <c r="G366" s="15">
        <v>101834</v>
      </c>
    </row>
    <row r="367" spans="1:7" x14ac:dyDescent="0.3">
      <c r="A367" s="16">
        <v>2021</v>
      </c>
      <c r="B367" s="17" t="s">
        <v>51</v>
      </c>
      <c r="C367" s="17" t="s">
        <v>41</v>
      </c>
      <c r="D367" t="s">
        <v>42</v>
      </c>
      <c r="E367" s="17" t="s">
        <v>77</v>
      </c>
      <c r="F367" s="14"/>
      <c r="G367" s="18">
        <v>106217</v>
      </c>
    </row>
    <row r="368" spans="1:7" x14ac:dyDescent="0.3">
      <c r="A368" s="13">
        <v>2021</v>
      </c>
      <c r="B368" s="14" t="s">
        <v>51</v>
      </c>
      <c r="C368" s="14" t="s">
        <v>41</v>
      </c>
      <c r="D368" t="s">
        <v>42</v>
      </c>
      <c r="E368" s="14" t="s">
        <v>77</v>
      </c>
      <c r="F368" s="14"/>
      <c r="G368" s="15">
        <v>87528</v>
      </c>
    </row>
    <row r="369" spans="1:7" x14ac:dyDescent="0.3">
      <c r="A369" s="16">
        <v>2021</v>
      </c>
      <c r="B369" s="17" t="s">
        <v>51</v>
      </c>
      <c r="C369" s="17" t="s">
        <v>41</v>
      </c>
      <c r="D369" t="s">
        <v>42</v>
      </c>
      <c r="E369" s="17" t="s">
        <v>77</v>
      </c>
      <c r="F369" s="14"/>
      <c r="G369" s="18">
        <v>90848</v>
      </c>
    </row>
    <row r="370" spans="1:7" x14ac:dyDescent="0.3">
      <c r="A370" s="13">
        <v>2021</v>
      </c>
      <c r="B370" s="14" t="s">
        <v>51</v>
      </c>
      <c r="C370" s="14" t="s">
        <v>41</v>
      </c>
      <c r="D370" t="s">
        <v>42</v>
      </c>
      <c r="E370" s="14" t="s">
        <v>78</v>
      </c>
      <c r="F370" s="14"/>
      <c r="G370" s="15">
        <v>123057</v>
      </c>
    </row>
    <row r="371" spans="1:7" x14ac:dyDescent="0.3">
      <c r="A371" s="16">
        <v>2021</v>
      </c>
      <c r="B371" s="17" t="s">
        <v>51</v>
      </c>
      <c r="C371" s="17" t="s">
        <v>41</v>
      </c>
      <c r="D371" t="s">
        <v>43</v>
      </c>
      <c r="E371" s="14" t="s">
        <v>76</v>
      </c>
      <c r="F371" s="14"/>
      <c r="G371" s="18">
        <v>185157</v>
      </c>
    </row>
    <row r="372" spans="1:7" x14ac:dyDescent="0.3">
      <c r="A372" s="13">
        <v>2021</v>
      </c>
      <c r="B372" s="14" t="s">
        <v>51</v>
      </c>
      <c r="C372" s="14" t="s">
        <v>41</v>
      </c>
      <c r="D372" t="s">
        <v>43</v>
      </c>
      <c r="E372" s="17" t="s">
        <v>76</v>
      </c>
      <c r="F372" s="14"/>
      <c r="G372" s="15">
        <v>69618</v>
      </c>
    </row>
    <row r="373" spans="1:7" x14ac:dyDescent="0.3">
      <c r="A373" s="16">
        <v>2021</v>
      </c>
      <c r="B373" s="17" t="s">
        <v>51</v>
      </c>
      <c r="C373" s="17" t="s">
        <v>41</v>
      </c>
      <c r="D373" t="s">
        <v>43</v>
      </c>
      <c r="E373" s="14" t="s">
        <v>76</v>
      </c>
      <c r="F373" s="14"/>
      <c r="G373" s="18">
        <v>127601</v>
      </c>
    </row>
    <row r="374" spans="1:7" x14ac:dyDescent="0.3">
      <c r="A374" s="13">
        <v>2021</v>
      </c>
      <c r="B374" s="14" t="s">
        <v>51</v>
      </c>
      <c r="C374" s="14" t="s">
        <v>41</v>
      </c>
      <c r="D374" t="s">
        <v>43</v>
      </c>
      <c r="E374" s="17" t="s">
        <v>76</v>
      </c>
      <c r="F374" s="14"/>
      <c r="G374" s="15">
        <v>128716</v>
      </c>
    </row>
    <row r="375" spans="1:7" x14ac:dyDescent="0.3">
      <c r="A375" s="16">
        <v>2021</v>
      </c>
      <c r="B375" s="17" t="s">
        <v>51</v>
      </c>
      <c r="C375" s="17" t="s">
        <v>41</v>
      </c>
      <c r="D375" t="s">
        <v>43</v>
      </c>
      <c r="E375" s="14" t="s">
        <v>76</v>
      </c>
      <c r="F375" s="14"/>
      <c r="G375" s="18">
        <v>129969</v>
      </c>
    </row>
    <row r="376" spans="1:7" x14ac:dyDescent="0.3">
      <c r="A376" s="13">
        <v>2021</v>
      </c>
      <c r="B376" s="14" t="s">
        <v>51</v>
      </c>
      <c r="C376" s="14" t="s">
        <v>41</v>
      </c>
      <c r="D376" t="s">
        <v>43</v>
      </c>
      <c r="E376" s="17" t="s">
        <v>77</v>
      </c>
      <c r="F376" s="14"/>
      <c r="G376" s="15">
        <v>126625</v>
      </c>
    </row>
    <row r="377" spans="1:7" x14ac:dyDescent="0.3">
      <c r="A377" s="16">
        <v>2021</v>
      </c>
      <c r="B377" s="17" t="s">
        <v>51</v>
      </c>
      <c r="C377" s="17" t="s">
        <v>41</v>
      </c>
      <c r="D377" t="s">
        <v>43</v>
      </c>
      <c r="E377" s="14" t="s">
        <v>77</v>
      </c>
      <c r="F377" s="14"/>
      <c r="G377" s="18">
        <v>96275</v>
      </c>
    </row>
    <row r="378" spans="1:7" x14ac:dyDescent="0.3">
      <c r="A378" s="13">
        <v>2021</v>
      </c>
      <c r="B378" s="14" t="s">
        <v>51</v>
      </c>
      <c r="C378" s="14" t="s">
        <v>41</v>
      </c>
      <c r="D378" t="s">
        <v>43</v>
      </c>
      <c r="E378" s="17" t="s">
        <v>77</v>
      </c>
      <c r="F378" s="14"/>
      <c r="G378" s="15">
        <v>111527</v>
      </c>
    </row>
    <row r="379" spans="1:7" x14ac:dyDescent="0.3">
      <c r="A379" s="16">
        <v>2021</v>
      </c>
      <c r="B379" s="17" t="s">
        <v>51</v>
      </c>
      <c r="C379" s="17" t="s">
        <v>41</v>
      </c>
      <c r="D379" t="s">
        <v>43</v>
      </c>
      <c r="E379" s="14" t="s">
        <v>78</v>
      </c>
      <c r="F379" s="14"/>
      <c r="G379" s="18">
        <v>109419</v>
      </c>
    </row>
    <row r="380" spans="1:7" x14ac:dyDescent="0.3">
      <c r="A380" s="13">
        <v>2021</v>
      </c>
      <c r="B380" s="14" t="s">
        <v>51</v>
      </c>
      <c r="C380" s="14" t="s">
        <v>41</v>
      </c>
      <c r="D380" t="s">
        <v>44</v>
      </c>
      <c r="E380" s="14" t="s">
        <v>76</v>
      </c>
      <c r="F380" s="14"/>
      <c r="G380" s="15">
        <v>656566</v>
      </c>
    </row>
    <row r="381" spans="1:7" x14ac:dyDescent="0.3">
      <c r="A381" s="16">
        <v>2021</v>
      </c>
      <c r="B381" s="17" t="s">
        <v>51</v>
      </c>
      <c r="C381" s="17" t="s">
        <v>41</v>
      </c>
      <c r="D381" t="s">
        <v>44</v>
      </c>
      <c r="E381" s="17" t="s">
        <v>76</v>
      </c>
      <c r="F381" s="14"/>
      <c r="G381" s="18">
        <v>183893</v>
      </c>
    </row>
    <row r="382" spans="1:7" x14ac:dyDescent="0.3">
      <c r="A382" s="13">
        <v>2021</v>
      </c>
      <c r="B382" s="14" t="s">
        <v>51</v>
      </c>
      <c r="C382" s="14" t="s">
        <v>41</v>
      </c>
      <c r="D382" t="s">
        <v>44</v>
      </c>
      <c r="E382" s="14" t="s">
        <v>76</v>
      </c>
      <c r="F382" s="14"/>
      <c r="G382" s="15">
        <v>354465</v>
      </c>
    </row>
    <row r="383" spans="1:7" x14ac:dyDescent="0.3">
      <c r="A383" s="16">
        <v>2021</v>
      </c>
      <c r="B383" s="17" t="s">
        <v>51</v>
      </c>
      <c r="C383" s="17" t="s">
        <v>41</v>
      </c>
      <c r="D383" t="s">
        <v>44</v>
      </c>
      <c r="E383" s="17" t="s">
        <v>76</v>
      </c>
      <c r="F383" s="14"/>
      <c r="G383" s="18">
        <v>428964</v>
      </c>
    </row>
    <row r="384" spans="1:7" x14ac:dyDescent="0.3">
      <c r="A384" s="13">
        <v>2021</v>
      </c>
      <c r="B384" s="14" t="s">
        <v>51</v>
      </c>
      <c r="C384" s="14" t="s">
        <v>41</v>
      </c>
      <c r="D384" t="s">
        <v>44</v>
      </c>
      <c r="E384" s="14" t="s">
        <v>76</v>
      </c>
      <c r="F384" s="14"/>
      <c r="G384" s="15">
        <v>475252</v>
      </c>
    </row>
    <row r="385" spans="1:7" x14ac:dyDescent="0.3">
      <c r="A385" s="16">
        <v>2021</v>
      </c>
      <c r="B385" s="17" t="s">
        <v>51</v>
      </c>
      <c r="C385" s="17" t="s">
        <v>41</v>
      </c>
      <c r="D385" t="s">
        <v>44</v>
      </c>
      <c r="E385" s="17" t="s">
        <v>77</v>
      </c>
      <c r="F385" s="14"/>
      <c r="G385" s="18">
        <v>445222</v>
      </c>
    </row>
    <row r="386" spans="1:7" x14ac:dyDescent="0.3">
      <c r="A386" s="13">
        <v>2021</v>
      </c>
      <c r="B386" s="14" t="s">
        <v>51</v>
      </c>
      <c r="C386" s="14" t="s">
        <v>41</v>
      </c>
      <c r="D386" t="s">
        <v>44</v>
      </c>
      <c r="E386" s="14" t="s">
        <v>77</v>
      </c>
      <c r="F386" s="14"/>
      <c r="G386" s="15">
        <v>382083</v>
      </c>
    </row>
    <row r="387" spans="1:7" x14ac:dyDescent="0.3">
      <c r="A387" s="16">
        <v>2021</v>
      </c>
      <c r="B387" s="17" t="s">
        <v>51</v>
      </c>
      <c r="C387" s="17" t="s">
        <v>41</v>
      </c>
      <c r="D387" t="s">
        <v>44</v>
      </c>
      <c r="E387" s="17" t="s">
        <v>77</v>
      </c>
      <c r="F387" s="14"/>
      <c r="G387" s="18">
        <v>396344</v>
      </c>
    </row>
    <row r="388" spans="1:7" x14ac:dyDescent="0.3">
      <c r="A388" s="13">
        <v>2021</v>
      </c>
      <c r="B388" s="14" t="s">
        <v>51</v>
      </c>
      <c r="C388" s="14" t="s">
        <v>41</v>
      </c>
      <c r="D388" t="s">
        <v>44</v>
      </c>
      <c r="E388" s="14" t="s">
        <v>78</v>
      </c>
      <c r="F388" s="14"/>
      <c r="G388" s="15">
        <v>309341</v>
      </c>
    </row>
    <row r="389" spans="1:7" x14ac:dyDescent="0.3">
      <c r="A389" s="16">
        <v>2021</v>
      </c>
      <c r="B389" s="17" t="s">
        <v>51</v>
      </c>
      <c r="C389" s="17" t="s">
        <v>41</v>
      </c>
      <c r="D389" t="s">
        <v>45</v>
      </c>
      <c r="E389" s="14" t="s">
        <v>76</v>
      </c>
      <c r="F389" s="14"/>
      <c r="G389" s="18">
        <v>1667598</v>
      </c>
    </row>
    <row r="390" spans="1:7" x14ac:dyDescent="0.3">
      <c r="A390" s="13">
        <v>2021</v>
      </c>
      <c r="B390" s="14" t="s">
        <v>51</v>
      </c>
      <c r="C390" s="14" t="s">
        <v>41</v>
      </c>
      <c r="D390" t="s">
        <v>45</v>
      </c>
      <c r="E390" s="17" t="s">
        <v>76</v>
      </c>
      <c r="F390" s="14"/>
      <c r="G390" s="15">
        <v>393075</v>
      </c>
    </row>
    <row r="391" spans="1:7" x14ac:dyDescent="0.3">
      <c r="A391" s="16">
        <v>2021</v>
      </c>
      <c r="B391" s="17" t="s">
        <v>51</v>
      </c>
      <c r="C391" s="17" t="s">
        <v>41</v>
      </c>
      <c r="D391" t="s">
        <v>45</v>
      </c>
      <c r="E391" s="14" t="s">
        <v>76</v>
      </c>
      <c r="F391" s="14"/>
      <c r="G391" s="18">
        <v>837225</v>
      </c>
    </row>
    <row r="392" spans="1:7" x14ac:dyDescent="0.3">
      <c r="A392" s="13">
        <v>2021</v>
      </c>
      <c r="B392" s="14" t="s">
        <v>51</v>
      </c>
      <c r="C392" s="14" t="s">
        <v>41</v>
      </c>
      <c r="D392" t="s">
        <v>45</v>
      </c>
      <c r="E392" s="17" t="s">
        <v>76</v>
      </c>
      <c r="F392" s="14"/>
      <c r="G392" s="15">
        <v>1014554</v>
      </c>
    </row>
    <row r="393" spans="1:7" x14ac:dyDescent="0.3">
      <c r="A393" s="16">
        <v>2021</v>
      </c>
      <c r="B393" s="17" t="s">
        <v>51</v>
      </c>
      <c r="C393" s="17" t="s">
        <v>41</v>
      </c>
      <c r="D393" t="s">
        <v>45</v>
      </c>
      <c r="E393" s="14" t="s">
        <v>76</v>
      </c>
      <c r="F393" s="14"/>
      <c r="G393" s="18">
        <v>1338470</v>
      </c>
    </row>
    <row r="394" spans="1:7" x14ac:dyDescent="0.3">
      <c r="A394" s="13">
        <v>2021</v>
      </c>
      <c r="B394" s="14" t="s">
        <v>51</v>
      </c>
      <c r="C394" s="14" t="s">
        <v>41</v>
      </c>
      <c r="D394" t="s">
        <v>45</v>
      </c>
      <c r="E394" s="17" t="s">
        <v>77</v>
      </c>
      <c r="F394" s="14"/>
      <c r="G394" s="15">
        <v>1214941</v>
      </c>
    </row>
    <row r="395" spans="1:7" x14ac:dyDescent="0.3">
      <c r="A395" s="16">
        <v>2021</v>
      </c>
      <c r="B395" s="17" t="s">
        <v>51</v>
      </c>
      <c r="C395" s="17" t="s">
        <v>41</v>
      </c>
      <c r="D395" t="s">
        <v>45</v>
      </c>
      <c r="E395" s="14" t="s">
        <v>77</v>
      </c>
      <c r="F395" s="14"/>
      <c r="G395" s="18">
        <v>937643</v>
      </c>
    </row>
    <row r="396" spans="1:7" x14ac:dyDescent="0.3">
      <c r="A396" s="13">
        <v>2021</v>
      </c>
      <c r="B396" s="14" t="s">
        <v>51</v>
      </c>
      <c r="C396" s="14" t="s">
        <v>41</v>
      </c>
      <c r="D396" t="s">
        <v>45</v>
      </c>
      <c r="E396" s="17" t="s">
        <v>77</v>
      </c>
      <c r="F396" s="14"/>
      <c r="G396" s="15">
        <v>1132451</v>
      </c>
    </row>
    <row r="397" spans="1:7" x14ac:dyDescent="0.3">
      <c r="A397" s="16">
        <v>2021</v>
      </c>
      <c r="B397" s="17" t="s">
        <v>51</v>
      </c>
      <c r="C397" s="17" t="s">
        <v>41</v>
      </c>
      <c r="D397" t="s">
        <v>45</v>
      </c>
      <c r="E397" s="14" t="s">
        <v>78</v>
      </c>
      <c r="F397" s="14"/>
      <c r="G397" s="18">
        <v>759491</v>
      </c>
    </row>
    <row r="398" spans="1:7" x14ac:dyDescent="0.3">
      <c r="A398" s="13">
        <v>2021</v>
      </c>
      <c r="B398" s="14" t="s">
        <v>51</v>
      </c>
      <c r="C398" s="14" t="s">
        <v>41</v>
      </c>
      <c r="D398" t="s">
        <v>46</v>
      </c>
      <c r="E398" s="14" t="s">
        <v>76</v>
      </c>
      <c r="F398" s="14"/>
      <c r="G398" s="15">
        <v>5147912</v>
      </c>
    </row>
    <row r="399" spans="1:7" x14ac:dyDescent="0.3">
      <c r="A399" s="16">
        <v>2021</v>
      </c>
      <c r="B399" s="17" t="s">
        <v>51</v>
      </c>
      <c r="C399" s="17" t="s">
        <v>41</v>
      </c>
      <c r="D399" t="s">
        <v>46</v>
      </c>
      <c r="E399" s="17" t="s">
        <v>76</v>
      </c>
      <c r="F399" s="14"/>
      <c r="G399" s="18">
        <v>1858703</v>
      </c>
    </row>
    <row r="400" spans="1:7" x14ac:dyDescent="0.3">
      <c r="A400" s="13">
        <v>2021</v>
      </c>
      <c r="B400" s="14" t="s">
        <v>51</v>
      </c>
      <c r="C400" s="14" t="s">
        <v>41</v>
      </c>
      <c r="D400" t="s">
        <v>46</v>
      </c>
      <c r="E400" s="14" t="s">
        <v>76</v>
      </c>
      <c r="F400" s="14"/>
      <c r="G400" s="15">
        <v>3340057</v>
      </c>
    </row>
    <row r="401" spans="1:7" x14ac:dyDescent="0.3">
      <c r="A401" s="16">
        <v>2021</v>
      </c>
      <c r="B401" s="17" t="s">
        <v>51</v>
      </c>
      <c r="C401" s="17" t="s">
        <v>41</v>
      </c>
      <c r="D401" t="s">
        <v>46</v>
      </c>
      <c r="E401" s="17" t="s">
        <v>76</v>
      </c>
      <c r="F401" s="14"/>
      <c r="G401" s="18">
        <v>5379509</v>
      </c>
    </row>
    <row r="402" spans="1:7" x14ac:dyDescent="0.3">
      <c r="A402" s="13">
        <v>2021</v>
      </c>
      <c r="B402" s="14" t="s">
        <v>51</v>
      </c>
      <c r="C402" s="14" t="s">
        <v>41</v>
      </c>
      <c r="D402" t="s">
        <v>46</v>
      </c>
      <c r="E402" s="14" t="s">
        <v>76</v>
      </c>
      <c r="F402" s="14"/>
      <c r="G402" s="15">
        <v>8082760</v>
      </c>
    </row>
    <row r="403" spans="1:7" x14ac:dyDescent="0.3">
      <c r="A403" s="16">
        <v>2021</v>
      </c>
      <c r="B403" s="17" t="s">
        <v>51</v>
      </c>
      <c r="C403" s="17" t="s">
        <v>41</v>
      </c>
      <c r="D403" t="s">
        <v>46</v>
      </c>
      <c r="E403" s="17" t="s">
        <v>77</v>
      </c>
      <c r="F403" s="14"/>
      <c r="G403" s="18">
        <v>7631775</v>
      </c>
    </row>
    <row r="404" spans="1:7" x14ac:dyDescent="0.3">
      <c r="A404" s="13">
        <v>2021</v>
      </c>
      <c r="B404" s="14" t="s">
        <v>51</v>
      </c>
      <c r="C404" s="14" t="s">
        <v>41</v>
      </c>
      <c r="D404" t="s">
        <v>46</v>
      </c>
      <c r="E404" s="14" t="s">
        <v>77</v>
      </c>
      <c r="F404" s="14"/>
      <c r="G404" s="15">
        <v>4143588</v>
      </c>
    </row>
    <row r="405" spans="1:7" x14ac:dyDescent="0.3">
      <c r="A405" s="16">
        <v>2021</v>
      </c>
      <c r="B405" s="17" t="s">
        <v>51</v>
      </c>
      <c r="C405" s="17" t="s">
        <v>41</v>
      </c>
      <c r="D405" t="s">
        <v>46</v>
      </c>
      <c r="E405" s="17" t="s">
        <v>77</v>
      </c>
      <c r="F405" s="14"/>
      <c r="G405" s="18">
        <v>6740353</v>
      </c>
    </row>
    <row r="406" spans="1:7" x14ac:dyDescent="0.3">
      <c r="A406" s="13">
        <v>2021</v>
      </c>
      <c r="B406" s="14" t="s">
        <v>51</v>
      </c>
      <c r="C406" s="14" t="s">
        <v>41</v>
      </c>
      <c r="D406" t="s">
        <v>46</v>
      </c>
      <c r="E406" s="14" t="s">
        <v>78</v>
      </c>
      <c r="F406" s="14"/>
      <c r="G406" s="15">
        <v>4603486</v>
      </c>
    </row>
    <row r="407" spans="1:7" x14ac:dyDescent="0.3">
      <c r="A407" s="16">
        <v>2021</v>
      </c>
      <c r="B407" s="17" t="s">
        <v>51</v>
      </c>
      <c r="C407" s="17" t="s">
        <v>47</v>
      </c>
      <c r="D407" t="s">
        <v>42</v>
      </c>
      <c r="E407" s="14" t="s">
        <v>61</v>
      </c>
      <c r="F407" s="14"/>
      <c r="G407" s="18">
        <v>2994288</v>
      </c>
    </row>
    <row r="408" spans="1:7" x14ac:dyDescent="0.3">
      <c r="A408" s="13">
        <v>2021</v>
      </c>
      <c r="B408" s="14" t="s">
        <v>51</v>
      </c>
      <c r="C408" s="14" t="s">
        <v>47</v>
      </c>
      <c r="D408" t="s">
        <v>42</v>
      </c>
      <c r="E408" s="17" t="s">
        <v>61</v>
      </c>
      <c r="F408" s="14"/>
      <c r="G408" s="15">
        <v>1419101</v>
      </c>
    </row>
    <row r="409" spans="1:7" x14ac:dyDescent="0.3">
      <c r="A409" s="16">
        <v>2021</v>
      </c>
      <c r="B409" s="17" t="s">
        <v>51</v>
      </c>
      <c r="C409" s="17" t="s">
        <v>47</v>
      </c>
      <c r="D409" t="s">
        <v>42</v>
      </c>
      <c r="E409" s="14" t="s">
        <v>62</v>
      </c>
      <c r="F409" s="14"/>
      <c r="G409" s="18">
        <v>3118121</v>
      </c>
    </row>
    <row r="410" spans="1:7" x14ac:dyDescent="0.3">
      <c r="A410" s="13">
        <v>2021</v>
      </c>
      <c r="B410" s="14" t="s">
        <v>51</v>
      </c>
      <c r="C410" s="14" t="s">
        <v>47</v>
      </c>
      <c r="D410" t="s">
        <v>42</v>
      </c>
      <c r="E410" s="17" t="s">
        <v>62</v>
      </c>
      <c r="F410" s="14"/>
      <c r="G410" s="15">
        <v>3422052</v>
      </c>
    </row>
    <row r="411" spans="1:7" x14ac:dyDescent="0.3">
      <c r="A411" s="16">
        <v>2021</v>
      </c>
      <c r="B411" s="17" t="s">
        <v>51</v>
      </c>
      <c r="C411" s="17" t="s">
        <v>47</v>
      </c>
      <c r="D411" t="s">
        <v>42</v>
      </c>
      <c r="E411" s="14" t="s">
        <v>62</v>
      </c>
      <c r="F411" s="14"/>
      <c r="G411" s="18">
        <v>4015482</v>
      </c>
    </row>
    <row r="412" spans="1:7" x14ac:dyDescent="0.3">
      <c r="A412" s="13">
        <v>2021</v>
      </c>
      <c r="B412" s="14" t="s">
        <v>51</v>
      </c>
      <c r="C412" s="14" t="s">
        <v>47</v>
      </c>
      <c r="D412" t="s">
        <v>42</v>
      </c>
      <c r="E412" s="17" t="s">
        <v>62</v>
      </c>
      <c r="F412" s="14"/>
      <c r="G412" s="15">
        <v>3920377</v>
      </c>
    </row>
    <row r="413" spans="1:7" x14ac:dyDescent="0.3">
      <c r="A413" s="16">
        <v>2021</v>
      </c>
      <c r="B413" s="17" t="s">
        <v>51</v>
      </c>
      <c r="C413" s="17" t="s">
        <v>47</v>
      </c>
      <c r="D413" t="s">
        <v>42</v>
      </c>
      <c r="E413" s="14" t="s">
        <v>63</v>
      </c>
      <c r="F413" s="14"/>
      <c r="G413" s="18">
        <v>3626342</v>
      </c>
    </row>
    <row r="414" spans="1:7" x14ac:dyDescent="0.3">
      <c r="A414" s="13">
        <v>2021</v>
      </c>
      <c r="B414" s="14" t="s">
        <v>51</v>
      </c>
      <c r="C414" s="14" t="s">
        <v>47</v>
      </c>
      <c r="D414" t="s">
        <v>42</v>
      </c>
      <c r="E414" s="17" t="s">
        <v>64</v>
      </c>
      <c r="F414" s="14"/>
      <c r="G414" s="15">
        <v>2908144</v>
      </c>
    </row>
    <row r="415" spans="1:7" x14ac:dyDescent="0.3">
      <c r="A415" s="16">
        <v>2021</v>
      </c>
      <c r="B415" s="17" t="s">
        <v>51</v>
      </c>
      <c r="C415" s="17" t="s">
        <v>47</v>
      </c>
      <c r="D415" t="s">
        <v>42</v>
      </c>
      <c r="E415" s="14" t="s">
        <v>75</v>
      </c>
      <c r="F415" s="14"/>
      <c r="G415" s="18">
        <v>2099518</v>
      </c>
    </row>
    <row r="416" spans="1:7" x14ac:dyDescent="0.3">
      <c r="A416" s="13">
        <v>2021</v>
      </c>
      <c r="B416" s="14" t="s">
        <v>51</v>
      </c>
      <c r="C416" s="14" t="s">
        <v>47</v>
      </c>
      <c r="D416" t="s">
        <v>43</v>
      </c>
      <c r="E416" s="14" t="s">
        <v>61</v>
      </c>
      <c r="F416" s="14"/>
      <c r="G416" s="15">
        <v>1930761</v>
      </c>
    </row>
    <row r="417" spans="1:7" x14ac:dyDescent="0.3">
      <c r="A417" s="16">
        <v>2021</v>
      </c>
      <c r="B417" s="17" t="s">
        <v>51</v>
      </c>
      <c r="C417" s="17" t="s">
        <v>47</v>
      </c>
      <c r="D417" t="s">
        <v>43</v>
      </c>
      <c r="E417" s="17" t="s">
        <v>61</v>
      </c>
      <c r="F417" s="14"/>
      <c r="G417" s="18">
        <v>708052</v>
      </c>
    </row>
    <row r="418" spans="1:7" x14ac:dyDescent="0.3">
      <c r="A418" s="13">
        <v>2021</v>
      </c>
      <c r="B418" s="14" t="s">
        <v>51</v>
      </c>
      <c r="C418" s="14" t="s">
        <v>47</v>
      </c>
      <c r="D418" t="s">
        <v>43</v>
      </c>
      <c r="E418" s="14" t="s">
        <v>62</v>
      </c>
      <c r="F418" s="14"/>
      <c r="G418" s="15">
        <v>1489951</v>
      </c>
    </row>
    <row r="419" spans="1:7" x14ac:dyDescent="0.3">
      <c r="A419" s="16">
        <v>2021</v>
      </c>
      <c r="B419" s="17" t="s">
        <v>51</v>
      </c>
      <c r="C419" s="17" t="s">
        <v>47</v>
      </c>
      <c r="D419" t="s">
        <v>43</v>
      </c>
      <c r="E419" s="17" t="s">
        <v>62</v>
      </c>
      <c r="F419" s="14"/>
      <c r="G419" s="18">
        <v>1942327</v>
      </c>
    </row>
    <row r="420" spans="1:7" x14ac:dyDescent="0.3">
      <c r="A420" s="13">
        <v>2021</v>
      </c>
      <c r="B420" s="14" t="s">
        <v>51</v>
      </c>
      <c r="C420" s="14" t="s">
        <v>47</v>
      </c>
      <c r="D420" t="s">
        <v>43</v>
      </c>
      <c r="E420" s="14" t="s">
        <v>62</v>
      </c>
      <c r="F420" s="14"/>
      <c r="G420" s="15">
        <v>2668378</v>
      </c>
    </row>
    <row r="421" spans="1:7" x14ac:dyDescent="0.3">
      <c r="A421" s="16">
        <v>2021</v>
      </c>
      <c r="B421" s="17" t="s">
        <v>51</v>
      </c>
      <c r="C421" s="17" t="s">
        <v>47</v>
      </c>
      <c r="D421" t="s">
        <v>43</v>
      </c>
      <c r="E421" s="17" t="s">
        <v>62</v>
      </c>
      <c r="F421" s="14"/>
      <c r="G421" s="18">
        <v>2332687</v>
      </c>
    </row>
    <row r="422" spans="1:7" x14ac:dyDescent="0.3">
      <c r="A422" s="13">
        <v>2021</v>
      </c>
      <c r="B422" s="14" t="s">
        <v>51</v>
      </c>
      <c r="C422" s="14" t="s">
        <v>47</v>
      </c>
      <c r="D422" t="s">
        <v>43</v>
      </c>
      <c r="E422" s="14" t="s">
        <v>63</v>
      </c>
      <c r="F422" s="14"/>
      <c r="G422" s="15">
        <v>1685150</v>
      </c>
    </row>
    <row r="423" spans="1:7" x14ac:dyDescent="0.3">
      <c r="A423" s="16">
        <v>2021</v>
      </c>
      <c r="B423" s="17" t="s">
        <v>51</v>
      </c>
      <c r="C423" s="17" t="s">
        <v>47</v>
      </c>
      <c r="D423" t="s">
        <v>43</v>
      </c>
      <c r="E423" s="17" t="s">
        <v>64</v>
      </c>
      <c r="F423" s="14"/>
      <c r="G423" s="18">
        <v>2908478</v>
      </c>
    </row>
    <row r="424" spans="1:7" x14ac:dyDescent="0.3">
      <c r="A424" s="13">
        <v>2021</v>
      </c>
      <c r="B424" s="14" t="s">
        <v>51</v>
      </c>
      <c r="C424" s="14" t="s">
        <v>47</v>
      </c>
      <c r="D424" t="s">
        <v>43</v>
      </c>
      <c r="E424" s="14" t="s">
        <v>75</v>
      </c>
      <c r="F424" s="14"/>
      <c r="G424" s="15">
        <v>3446777</v>
      </c>
    </row>
    <row r="425" spans="1:7" x14ac:dyDescent="0.3">
      <c r="A425" s="16">
        <v>2021</v>
      </c>
      <c r="B425" s="17" t="s">
        <v>51</v>
      </c>
      <c r="C425" s="17" t="s">
        <v>47</v>
      </c>
      <c r="D425" t="s">
        <v>44</v>
      </c>
      <c r="E425" s="14" t="s">
        <v>61</v>
      </c>
      <c r="F425" s="14"/>
      <c r="G425" s="18">
        <v>1885493</v>
      </c>
    </row>
    <row r="426" spans="1:7" x14ac:dyDescent="0.3">
      <c r="A426" s="13">
        <v>2021</v>
      </c>
      <c r="B426" s="14" t="s">
        <v>51</v>
      </c>
      <c r="C426" s="14" t="s">
        <v>47</v>
      </c>
      <c r="D426" t="s">
        <v>44</v>
      </c>
      <c r="E426" s="17" t="s">
        <v>61</v>
      </c>
      <c r="F426" s="14"/>
      <c r="G426" s="15">
        <v>881496</v>
      </c>
    </row>
    <row r="427" spans="1:7" x14ac:dyDescent="0.3">
      <c r="A427" s="16">
        <v>2021</v>
      </c>
      <c r="B427" s="17" t="s">
        <v>51</v>
      </c>
      <c r="C427" s="17" t="s">
        <v>47</v>
      </c>
      <c r="D427" t="s">
        <v>44</v>
      </c>
      <c r="E427" s="14" t="s">
        <v>62</v>
      </c>
      <c r="F427" s="14"/>
      <c r="G427" s="18">
        <v>1223293</v>
      </c>
    </row>
    <row r="428" spans="1:7" x14ac:dyDescent="0.3">
      <c r="A428" s="13">
        <v>2021</v>
      </c>
      <c r="B428" s="14" t="s">
        <v>51</v>
      </c>
      <c r="C428" s="14" t="s">
        <v>47</v>
      </c>
      <c r="D428" t="s">
        <v>44</v>
      </c>
      <c r="E428" s="17" t="s">
        <v>62</v>
      </c>
      <c r="F428" s="14"/>
      <c r="G428" s="15">
        <v>1465664</v>
      </c>
    </row>
    <row r="429" spans="1:7" x14ac:dyDescent="0.3">
      <c r="A429" s="16">
        <v>2021</v>
      </c>
      <c r="B429" s="17" t="s">
        <v>51</v>
      </c>
      <c r="C429" s="17" t="s">
        <v>47</v>
      </c>
      <c r="D429" t="s">
        <v>44</v>
      </c>
      <c r="E429" s="14" t="s">
        <v>62</v>
      </c>
      <c r="F429" s="14"/>
      <c r="G429" s="18">
        <v>2256844</v>
      </c>
    </row>
    <row r="430" spans="1:7" x14ac:dyDescent="0.3">
      <c r="A430" s="13">
        <v>2021</v>
      </c>
      <c r="B430" s="14" t="s">
        <v>51</v>
      </c>
      <c r="C430" s="14" t="s">
        <v>47</v>
      </c>
      <c r="D430" t="s">
        <v>44</v>
      </c>
      <c r="E430" s="17" t="s">
        <v>62</v>
      </c>
      <c r="F430" s="14"/>
      <c r="G430" s="15">
        <v>2560623</v>
      </c>
    </row>
    <row r="431" spans="1:7" x14ac:dyDescent="0.3">
      <c r="A431" s="16">
        <v>2021</v>
      </c>
      <c r="B431" s="17" t="s">
        <v>51</v>
      </c>
      <c r="C431" s="17" t="s">
        <v>47</v>
      </c>
      <c r="D431" t="s">
        <v>44</v>
      </c>
      <c r="E431" s="14" t="s">
        <v>63</v>
      </c>
      <c r="F431" s="14"/>
      <c r="G431" s="18">
        <v>2287675</v>
      </c>
    </row>
    <row r="432" spans="1:7" x14ac:dyDescent="0.3">
      <c r="A432" s="13">
        <v>2021</v>
      </c>
      <c r="B432" s="14" t="s">
        <v>51</v>
      </c>
      <c r="C432" s="14" t="s">
        <v>47</v>
      </c>
      <c r="D432" t="s">
        <v>44</v>
      </c>
      <c r="E432" s="17" t="s">
        <v>64</v>
      </c>
      <c r="F432" s="14"/>
      <c r="G432" s="15">
        <v>3060990</v>
      </c>
    </row>
    <row r="433" spans="1:7" x14ac:dyDescent="0.3">
      <c r="A433" s="16">
        <v>2021</v>
      </c>
      <c r="B433" s="17" t="s">
        <v>51</v>
      </c>
      <c r="C433" s="17" t="s">
        <v>47</v>
      </c>
      <c r="D433" t="s">
        <v>44</v>
      </c>
      <c r="E433" s="14" t="s">
        <v>75</v>
      </c>
      <c r="F433" s="14"/>
      <c r="G433" s="18">
        <v>3046477</v>
      </c>
    </row>
    <row r="434" spans="1:7" x14ac:dyDescent="0.3">
      <c r="A434" s="13">
        <v>2021</v>
      </c>
      <c r="B434" s="14" t="s">
        <v>51</v>
      </c>
      <c r="C434" s="14" t="s">
        <v>47</v>
      </c>
      <c r="D434" t="s">
        <v>45</v>
      </c>
      <c r="E434" s="14" t="s">
        <v>61</v>
      </c>
      <c r="F434" s="14"/>
      <c r="G434" s="15">
        <v>1900774</v>
      </c>
    </row>
    <row r="435" spans="1:7" x14ac:dyDescent="0.3">
      <c r="A435" s="16">
        <v>2021</v>
      </c>
      <c r="B435" s="17" t="s">
        <v>51</v>
      </c>
      <c r="C435" s="17" t="s">
        <v>47</v>
      </c>
      <c r="D435" t="s">
        <v>45</v>
      </c>
      <c r="E435" s="17" t="s">
        <v>61</v>
      </c>
      <c r="F435" s="14"/>
      <c r="G435" s="18">
        <v>1178761</v>
      </c>
    </row>
    <row r="436" spans="1:7" x14ac:dyDescent="0.3">
      <c r="A436" s="13">
        <v>2021</v>
      </c>
      <c r="B436" s="14" t="s">
        <v>51</v>
      </c>
      <c r="C436" s="14" t="s">
        <v>47</v>
      </c>
      <c r="D436" t="s">
        <v>45</v>
      </c>
      <c r="E436" s="14" t="s">
        <v>62</v>
      </c>
      <c r="F436" s="14"/>
      <c r="G436" s="15">
        <v>1552350</v>
      </c>
    </row>
    <row r="437" spans="1:7" x14ac:dyDescent="0.3">
      <c r="A437" s="16">
        <v>2021</v>
      </c>
      <c r="B437" s="17" t="s">
        <v>51</v>
      </c>
      <c r="C437" s="17" t="s">
        <v>47</v>
      </c>
      <c r="D437" t="s">
        <v>45</v>
      </c>
      <c r="E437" s="17" t="s">
        <v>62</v>
      </c>
      <c r="F437" s="14"/>
      <c r="G437" s="18">
        <v>1654869</v>
      </c>
    </row>
    <row r="438" spans="1:7" x14ac:dyDescent="0.3">
      <c r="A438" s="13">
        <v>2021</v>
      </c>
      <c r="B438" s="14" t="s">
        <v>51</v>
      </c>
      <c r="C438" s="14" t="s">
        <v>47</v>
      </c>
      <c r="D438" t="s">
        <v>45</v>
      </c>
      <c r="E438" s="14" t="s">
        <v>62</v>
      </c>
      <c r="F438" s="14"/>
      <c r="G438" s="15">
        <v>1691584</v>
      </c>
    </row>
    <row r="439" spans="1:7" x14ac:dyDescent="0.3">
      <c r="A439" s="16">
        <v>2021</v>
      </c>
      <c r="B439" s="17" t="s">
        <v>51</v>
      </c>
      <c r="C439" s="17" t="s">
        <v>47</v>
      </c>
      <c r="D439" t="s">
        <v>45</v>
      </c>
      <c r="E439" s="17" t="s">
        <v>62</v>
      </c>
      <c r="F439" s="14"/>
      <c r="G439" s="18">
        <v>1785279</v>
      </c>
    </row>
    <row r="440" spans="1:7" x14ac:dyDescent="0.3">
      <c r="A440" s="13">
        <v>2021</v>
      </c>
      <c r="B440" s="14" t="s">
        <v>51</v>
      </c>
      <c r="C440" s="14" t="s">
        <v>47</v>
      </c>
      <c r="D440" t="s">
        <v>45</v>
      </c>
      <c r="E440" s="14" t="s">
        <v>63</v>
      </c>
      <c r="F440" s="14"/>
      <c r="G440" s="15">
        <v>1928495</v>
      </c>
    </row>
    <row r="441" spans="1:7" x14ac:dyDescent="0.3">
      <c r="A441" s="16">
        <v>2021</v>
      </c>
      <c r="B441" s="17" t="s">
        <v>51</v>
      </c>
      <c r="C441" s="17" t="s">
        <v>47</v>
      </c>
      <c r="D441" t="s">
        <v>45</v>
      </c>
      <c r="E441" s="17" t="s">
        <v>64</v>
      </c>
      <c r="F441" s="14"/>
      <c r="G441" s="18">
        <v>1674316</v>
      </c>
    </row>
    <row r="442" spans="1:7" x14ac:dyDescent="0.3">
      <c r="A442" s="13">
        <v>2021</v>
      </c>
      <c r="B442" s="14" t="s">
        <v>51</v>
      </c>
      <c r="C442" s="14" t="s">
        <v>47</v>
      </c>
      <c r="D442" t="s">
        <v>45</v>
      </c>
      <c r="E442" s="14" t="s">
        <v>75</v>
      </c>
      <c r="F442" s="14"/>
      <c r="G442" s="15">
        <v>1413724</v>
      </c>
    </row>
    <row r="443" spans="1:7" x14ac:dyDescent="0.3">
      <c r="A443" s="16">
        <v>2021</v>
      </c>
      <c r="B443" s="17" t="s">
        <v>51</v>
      </c>
      <c r="C443" s="17" t="s">
        <v>47</v>
      </c>
      <c r="D443" t="s">
        <v>46</v>
      </c>
      <c r="E443" s="14" t="s">
        <v>61</v>
      </c>
      <c r="F443" s="14"/>
      <c r="G443" s="18">
        <v>2116103</v>
      </c>
    </row>
    <row r="444" spans="1:7" x14ac:dyDescent="0.3">
      <c r="A444" s="13">
        <v>2021</v>
      </c>
      <c r="B444" s="14" t="s">
        <v>51</v>
      </c>
      <c r="C444" s="14" t="s">
        <v>47</v>
      </c>
      <c r="D444" t="s">
        <v>46</v>
      </c>
      <c r="E444" s="17" t="s">
        <v>61</v>
      </c>
      <c r="F444" s="14"/>
      <c r="G444" s="15">
        <v>488221</v>
      </c>
    </row>
    <row r="445" spans="1:7" x14ac:dyDescent="0.3">
      <c r="A445" s="16">
        <v>2021</v>
      </c>
      <c r="B445" s="17" t="s">
        <v>51</v>
      </c>
      <c r="C445" s="17" t="s">
        <v>47</v>
      </c>
      <c r="D445" t="s">
        <v>46</v>
      </c>
      <c r="E445" s="14" t="s">
        <v>62</v>
      </c>
      <c r="F445" s="14"/>
      <c r="G445" s="18">
        <v>1071835</v>
      </c>
    </row>
    <row r="446" spans="1:7" x14ac:dyDescent="0.3">
      <c r="A446" s="13">
        <v>2021</v>
      </c>
      <c r="B446" s="14" t="s">
        <v>51</v>
      </c>
      <c r="C446" s="14" t="s">
        <v>47</v>
      </c>
      <c r="D446" t="s">
        <v>46</v>
      </c>
      <c r="E446" s="17" t="s">
        <v>62</v>
      </c>
      <c r="F446" s="14"/>
      <c r="G446" s="15">
        <v>1747149</v>
      </c>
    </row>
    <row r="447" spans="1:7" x14ac:dyDescent="0.3">
      <c r="A447" s="16">
        <v>2021</v>
      </c>
      <c r="B447" s="17" t="s">
        <v>51</v>
      </c>
      <c r="C447" s="17" t="s">
        <v>47</v>
      </c>
      <c r="D447" t="s">
        <v>46</v>
      </c>
      <c r="E447" s="14" t="s">
        <v>62</v>
      </c>
      <c r="F447" s="14"/>
      <c r="G447" s="18">
        <v>2673620</v>
      </c>
    </row>
    <row r="448" spans="1:7" x14ac:dyDescent="0.3">
      <c r="A448" s="13">
        <v>2021</v>
      </c>
      <c r="B448" s="14" t="s">
        <v>51</v>
      </c>
      <c r="C448" s="14" t="s">
        <v>47</v>
      </c>
      <c r="D448" t="s">
        <v>46</v>
      </c>
      <c r="E448" s="17" t="s">
        <v>62</v>
      </c>
      <c r="F448" s="14"/>
      <c r="G448" s="15">
        <v>1530327</v>
      </c>
    </row>
    <row r="449" spans="1:7" x14ac:dyDescent="0.3">
      <c r="A449" s="16">
        <v>2021</v>
      </c>
      <c r="B449" s="17" t="s">
        <v>51</v>
      </c>
      <c r="C449" s="17" t="s">
        <v>47</v>
      </c>
      <c r="D449" t="s">
        <v>46</v>
      </c>
      <c r="E449" s="14" t="s">
        <v>63</v>
      </c>
      <c r="F449" s="14"/>
      <c r="G449" s="18">
        <v>1087172</v>
      </c>
    </row>
    <row r="450" spans="1:7" x14ac:dyDescent="0.3">
      <c r="A450" s="13">
        <v>2021</v>
      </c>
      <c r="B450" s="14" t="s">
        <v>51</v>
      </c>
      <c r="C450" s="14" t="s">
        <v>47</v>
      </c>
      <c r="D450" t="s">
        <v>46</v>
      </c>
      <c r="E450" s="17" t="s">
        <v>64</v>
      </c>
      <c r="F450" s="14"/>
      <c r="G450" s="15">
        <v>1484197</v>
      </c>
    </row>
    <row r="451" spans="1:7" x14ac:dyDescent="0.3">
      <c r="A451" s="16">
        <v>2021</v>
      </c>
      <c r="B451" s="17" t="s">
        <v>51</v>
      </c>
      <c r="C451" s="17" t="s">
        <v>47</v>
      </c>
      <c r="D451" t="s">
        <v>46</v>
      </c>
      <c r="E451" s="14" t="s">
        <v>75</v>
      </c>
      <c r="F451" s="14"/>
      <c r="G451" s="18">
        <v>3618407</v>
      </c>
    </row>
    <row r="452" spans="1:7" x14ac:dyDescent="0.3">
      <c r="A452" s="13">
        <v>2021</v>
      </c>
      <c r="B452" s="14" t="s">
        <v>52</v>
      </c>
      <c r="C452" s="14" t="s">
        <v>41</v>
      </c>
      <c r="D452" t="s">
        <v>42</v>
      </c>
      <c r="E452" s="14" t="s">
        <v>76</v>
      </c>
      <c r="F452" s="14"/>
      <c r="G452" s="15">
        <v>44412</v>
      </c>
    </row>
    <row r="453" spans="1:7" x14ac:dyDescent="0.3">
      <c r="A453" s="16">
        <v>2021</v>
      </c>
      <c r="B453" s="17" t="s">
        <v>52</v>
      </c>
      <c r="C453" s="17" t="s">
        <v>41</v>
      </c>
      <c r="D453" t="s">
        <v>42</v>
      </c>
      <c r="E453" s="17" t="s">
        <v>76</v>
      </c>
      <c r="F453" s="14"/>
      <c r="G453" s="18">
        <v>23593</v>
      </c>
    </row>
    <row r="454" spans="1:7" x14ac:dyDescent="0.3">
      <c r="A454" s="13">
        <v>2021</v>
      </c>
      <c r="B454" s="14" t="s">
        <v>52</v>
      </c>
      <c r="C454" s="14" t="s">
        <v>41</v>
      </c>
      <c r="D454" t="s">
        <v>42</v>
      </c>
      <c r="E454" s="14" t="s">
        <v>76</v>
      </c>
      <c r="F454" s="14"/>
      <c r="G454" s="15">
        <v>50018</v>
      </c>
    </row>
    <row r="455" spans="1:7" x14ac:dyDescent="0.3">
      <c r="A455" s="16">
        <v>2021</v>
      </c>
      <c r="B455" s="17" t="s">
        <v>52</v>
      </c>
      <c r="C455" s="17" t="s">
        <v>41</v>
      </c>
      <c r="D455" t="s">
        <v>42</v>
      </c>
      <c r="E455" s="17" t="s">
        <v>76</v>
      </c>
      <c r="F455" s="14"/>
      <c r="G455" s="18">
        <v>39559</v>
      </c>
    </row>
    <row r="456" spans="1:7" x14ac:dyDescent="0.3">
      <c r="A456" s="13">
        <v>2021</v>
      </c>
      <c r="B456" s="14" t="s">
        <v>52</v>
      </c>
      <c r="C456" s="14" t="s">
        <v>41</v>
      </c>
      <c r="D456" t="s">
        <v>42</v>
      </c>
      <c r="E456" s="14" t="s">
        <v>76</v>
      </c>
      <c r="F456" s="14"/>
      <c r="G456" s="15">
        <v>42224</v>
      </c>
    </row>
    <row r="457" spans="1:7" x14ac:dyDescent="0.3">
      <c r="A457" s="16">
        <v>2021</v>
      </c>
      <c r="B457" s="17" t="s">
        <v>52</v>
      </c>
      <c r="C457" s="17" t="s">
        <v>41</v>
      </c>
      <c r="D457" t="s">
        <v>42</v>
      </c>
      <c r="E457" s="17" t="s">
        <v>77</v>
      </c>
      <c r="F457" s="14"/>
      <c r="G457" s="18">
        <v>41726</v>
      </c>
    </row>
    <row r="458" spans="1:7" x14ac:dyDescent="0.3">
      <c r="A458" s="13">
        <v>2021</v>
      </c>
      <c r="B458" s="14" t="s">
        <v>52</v>
      </c>
      <c r="C458" s="14" t="s">
        <v>41</v>
      </c>
      <c r="D458" t="s">
        <v>42</v>
      </c>
      <c r="E458" s="14" t="s">
        <v>77</v>
      </c>
      <c r="F458" s="14"/>
      <c r="G458" s="15">
        <v>42726</v>
      </c>
    </row>
    <row r="459" spans="1:7" x14ac:dyDescent="0.3">
      <c r="A459" s="16">
        <v>2021</v>
      </c>
      <c r="B459" s="17" t="s">
        <v>52</v>
      </c>
      <c r="C459" s="17" t="s">
        <v>41</v>
      </c>
      <c r="D459" t="s">
        <v>42</v>
      </c>
      <c r="E459" s="17" t="s">
        <v>77</v>
      </c>
      <c r="F459" s="14"/>
      <c r="G459" s="18">
        <v>57051</v>
      </c>
    </row>
    <row r="460" spans="1:7" x14ac:dyDescent="0.3">
      <c r="A460" s="13">
        <v>2021</v>
      </c>
      <c r="B460" s="14" t="s">
        <v>52</v>
      </c>
      <c r="C460" s="14" t="s">
        <v>41</v>
      </c>
      <c r="D460" t="s">
        <v>42</v>
      </c>
      <c r="E460" s="14" t="s">
        <v>78</v>
      </c>
      <c r="F460" s="14"/>
      <c r="G460" s="15">
        <v>55501</v>
      </c>
    </row>
    <row r="461" spans="1:7" x14ac:dyDescent="0.3">
      <c r="A461" s="16">
        <v>2021</v>
      </c>
      <c r="B461" s="17" t="s">
        <v>52</v>
      </c>
      <c r="C461" s="17" t="s">
        <v>41</v>
      </c>
      <c r="D461" t="s">
        <v>43</v>
      </c>
      <c r="E461" s="14" t="s">
        <v>76</v>
      </c>
      <c r="F461" s="14"/>
      <c r="G461" s="18">
        <v>59830</v>
      </c>
    </row>
    <row r="462" spans="1:7" x14ac:dyDescent="0.3">
      <c r="A462" s="13">
        <v>2021</v>
      </c>
      <c r="B462" s="14" t="s">
        <v>52</v>
      </c>
      <c r="C462" s="14" t="s">
        <v>41</v>
      </c>
      <c r="D462" t="s">
        <v>43</v>
      </c>
      <c r="E462" s="17" t="s">
        <v>76</v>
      </c>
      <c r="F462" s="14"/>
      <c r="G462" s="15">
        <v>37933</v>
      </c>
    </row>
    <row r="463" spans="1:7" x14ac:dyDescent="0.3">
      <c r="A463" s="16">
        <v>2021</v>
      </c>
      <c r="B463" s="17" t="s">
        <v>52</v>
      </c>
      <c r="C463" s="17" t="s">
        <v>41</v>
      </c>
      <c r="D463" t="s">
        <v>43</v>
      </c>
      <c r="E463" s="14" t="s">
        <v>76</v>
      </c>
      <c r="F463" s="14"/>
      <c r="G463" s="18">
        <v>66365</v>
      </c>
    </row>
    <row r="464" spans="1:7" x14ac:dyDescent="0.3">
      <c r="A464" s="13">
        <v>2021</v>
      </c>
      <c r="B464" s="14" t="s">
        <v>52</v>
      </c>
      <c r="C464" s="14" t="s">
        <v>41</v>
      </c>
      <c r="D464" t="s">
        <v>43</v>
      </c>
      <c r="E464" s="17" t="s">
        <v>76</v>
      </c>
      <c r="F464" s="14"/>
      <c r="G464" s="15">
        <v>65244</v>
      </c>
    </row>
    <row r="465" spans="1:7" x14ac:dyDescent="0.3">
      <c r="A465" s="16">
        <v>2021</v>
      </c>
      <c r="B465" s="17" t="s">
        <v>52</v>
      </c>
      <c r="C465" s="17" t="s">
        <v>41</v>
      </c>
      <c r="D465" t="s">
        <v>43</v>
      </c>
      <c r="E465" s="14" t="s">
        <v>76</v>
      </c>
      <c r="F465" s="14"/>
      <c r="G465" s="18">
        <v>65800</v>
      </c>
    </row>
    <row r="466" spans="1:7" x14ac:dyDescent="0.3">
      <c r="A466" s="13">
        <v>2021</v>
      </c>
      <c r="B466" s="14" t="s">
        <v>52</v>
      </c>
      <c r="C466" s="14" t="s">
        <v>41</v>
      </c>
      <c r="D466" t="s">
        <v>43</v>
      </c>
      <c r="E466" s="17" t="s">
        <v>77</v>
      </c>
      <c r="F466" s="14"/>
      <c r="G466" s="15">
        <v>58029</v>
      </c>
    </row>
    <row r="467" spans="1:7" x14ac:dyDescent="0.3">
      <c r="A467" s="16">
        <v>2021</v>
      </c>
      <c r="B467" s="17" t="s">
        <v>52</v>
      </c>
      <c r="C467" s="17" t="s">
        <v>41</v>
      </c>
      <c r="D467" t="s">
        <v>43</v>
      </c>
      <c r="E467" s="14" t="s">
        <v>77</v>
      </c>
      <c r="F467" s="14"/>
      <c r="G467" s="18">
        <v>53419</v>
      </c>
    </row>
    <row r="468" spans="1:7" x14ac:dyDescent="0.3">
      <c r="A468" s="13">
        <v>2021</v>
      </c>
      <c r="B468" s="14" t="s">
        <v>52</v>
      </c>
      <c r="C468" s="14" t="s">
        <v>41</v>
      </c>
      <c r="D468" t="s">
        <v>43</v>
      </c>
      <c r="E468" s="17" t="s">
        <v>77</v>
      </c>
      <c r="F468" s="14"/>
      <c r="G468" s="15">
        <v>46332</v>
      </c>
    </row>
    <row r="469" spans="1:7" x14ac:dyDescent="0.3">
      <c r="A469" s="16">
        <v>2021</v>
      </c>
      <c r="B469" s="17" t="s">
        <v>52</v>
      </c>
      <c r="C469" s="17" t="s">
        <v>41</v>
      </c>
      <c r="D469" t="s">
        <v>43</v>
      </c>
      <c r="E469" s="14" t="s">
        <v>78</v>
      </c>
      <c r="F469" s="14"/>
      <c r="G469" s="18">
        <v>37660</v>
      </c>
    </row>
    <row r="470" spans="1:7" x14ac:dyDescent="0.3">
      <c r="A470" s="13">
        <v>2021</v>
      </c>
      <c r="B470" s="14" t="s">
        <v>52</v>
      </c>
      <c r="C470" s="14" t="s">
        <v>41</v>
      </c>
      <c r="D470" t="s">
        <v>44</v>
      </c>
      <c r="E470" s="14" t="s">
        <v>76</v>
      </c>
      <c r="F470" s="14"/>
      <c r="G470" s="15">
        <v>202455</v>
      </c>
    </row>
    <row r="471" spans="1:7" x14ac:dyDescent="0.3">
      <c r="A471" s="16">
        <v>2021</v>
      </c>
      <c r="B471" s="17" t="s">
        <v>52</v>
      </c>
      <c r="C471" s="17" t="s">
        <v>41</v>
      </c>
      <c r="D471" t="s">
        <v>44</v>
      </c>
      <c r="E471" s="17" t="s">
        <v>76</v>
      </c>
      <c r="F471" s="14"/>
      <c r="G471" s="18">
        <v>99317</v>
      </c>
    </row>
    <row r="472" spans="1:7" x14ac:dyDescent="0.3">
      <c r="A472" s="13">
        <v>2021</v>
      </c>
      <c r="B472" s="14" t="s">
        <v>52</v>
      </c>
      <c r="C472" s="14" t="s">
        <v>41</v>
      </c>
      <c r="D472" t="s">
        <v>44</v>
      </c>
      <c r="E472" s="14" t="s">
        <v>76</v>
      </c>
      <c r="F472" s="14"/>
      <c r="G472" s="15">
        <v>188882</v>
      </c>
    </row>
    <row r="473" spans="1:7" x14ac:dyDescent="0.3">
      <c r="A473" s="16">
        <v>2021</v>
      </c>
      <c r="B473" s="17" t="s">
        <v>52</v>
      </c>
      <c r="C473" s="17" t="s">
        <v>41</v>
      </c>
      <c r="D473" t="s">
        <v>44</v>
      </c>
      <c r="E473" s="17" t="s">
        <v>76</v>
      </c>
      <c r="F473" s="14"/>
      <c r="G473" s="18">
        <v>213260</v>
      </c>
    </row>
    <row r="474" spans="1:7" x14ac:dyDescent="0.3">
      <c r="A474" s="13">
        <v>2021</v>
      </c>
      <c r="B474" s="14" t="s">
        <v>52</v>
      </c>
      <c r="C474" s="14" t="s">
        <v>41</v>
      </c>
      <c r="D474" t="s">
        <v>44</v>
      </c>
      <c r="E474" s="14" t="s">
        <v>76</v>
      </c>
      <c r="F474" s="14"/>
      <c r="G474" s="15">
        <v>243925</v>
      </c>
    </row>
    <row r="475" spans="1:7" x14ac:dyDescent="0.3">
      <c r="A475" s="16">
        <v>2021</v>
      </c>
      <c r="B475" s="17" t="s">
        <v>52</v>
      </c>
      <c r="C475" s="17" t="s">
        <v>41</v>
      </c>
      <c r="D475" t="s">
        <v>44</v>
      </c>
      <c r="E475" s="17" t="s">
        <v>77</v>
      </c>
      <c r="F475" s="14"/>
      <c r="G475" s="18">
        <v>226156</v>
      </c>
    </row>
    <row r="476" spans="1:7" x14ac:dyDescent="0.3">
      <c r="A476" s="13">
        <v>2021</v>
      </c>
      <c r="B476" s="14" t="s">
        <v>52</v>
      </c>
      <c r="C476" s="14" t="s">
        <v>41</v>
      </c>
      <c r="D476" t="s">
        <v>44</v>
      </c>
      <c r="E476" s="14" t="s">
        <v>77</v>
      </c>
      <c r="F476" s="14"/>
      <c r="G476" s="15">
        <v>180221</v>
      </c>
    </row>
    <row r="477" spans="1:7" x14ac:dyDescent="0.3">
      <c r="A477" s="16">
        <v>2021</v>
      </c>
      <c r="B477" s="17" t="s">
        <v>52</v>
      </c>
      <c r="C477" s="17" t="s">
        <v>41</v>
      </c>
      <c r="D477" t="s">
        <v>44</v>
      </c>
      <c r="E477" s="17" t="s">
        <v>77</v>
      </c>
      <c r="F477" s="14"/>
      <c r="G477" s="18">
        <v>162727</v>
      </c>
    </row>
    <row r="478" spans="1:7" x14ac:dyDescent="0.3">
      <c r="A478" s="13">
        <v>2021</v>
      </c>
      <c r="B478" s="14" t="s">
        <v>52</v>
      </c>
      <c r="C478" s="14" t="s">
        <v>41</v>
      </c>
      <c r="D478" t="s">
        <v>44</v>
      </c>
      <c r="E478" s="14" t="s">
        <v>78</v>
      </c>
      <c r="F478" s="14"/>
      <c r="G478" s="15">
        <v>99321</v>
      </c>
    </row>
    <row r="479" spans="1:7" x14ac:dyDescent="0.3">
      <c r="A479" s="16">
        <v>2021</v>
      </c>
      <c r="B479" s="17" t="s">
        <v>52</v>
      </c>
      <c r="C479" s="17" t="s">
        <v>41</v>
      </c>
      <c r="D479" t="s">
        <v>45</v>
      </c>
      <c r="E479" s="14" t="s">
        <v>76</v>
      </c>
      <c r="F479" s="14"/>
      <c r="G479" s="18">
        <v>580533</v>
      </c>
    </row>
    <row r="480" spans="1:7" x14ac:dyDescent="0.3">
      <c r="A480" s="13">
        <v>2021</v>
      </c>
      <c r="B480" s="14" t="s">
        <v>52</v>
      </c>
      <c r="C480" s="14" t="s">
        <v>41</v>
      </c>
      <c r="D480" t="s">
        <v>45</v>
      </c>
      <c r="E480" s="17" t="s">
        <v>76</v>
      </c>
      <c r="F480" s="14"/>
      <c r="G480" s="15">
        <v>188823</v>
      </c>
    </row>
    <row r="481" spans="1:7" x14ac:dyDescent="0.3">
      <c r="A481" s="16">
        <v>2021</v>
      </c>
      <c r="B481" s="17" t="s">
        <v>52</v>
      </c>
      <c r="C481" s="17" t="s">
        <v>41</v>
      </c>
      <c r="D481" t="s">
        <v>45</v>
      </c>
      <c r="E481" s="14" t="s">
        <v>76</v>
      </c>
      <c r="F481" s="14"/>
      <c r="G481" s="18">
        <v>402177</v>
      </c>
    </row>
    <row r="482" spans="1:7" x14ac:dyDescent="0.3">
      <c r="A482" s="13">
        <v>2021</v>
      </c>
      <c r="B482" s="14" t="s">
        <v>52</v>
      </c>
      <c r="C482" s="14" t="s">
        <v>41</v>
      </c>
      <c r="D482" t="s">
        <v>45</v>
      </c>
      <c r="E482" s="17" t="s">
        <v>76</v>
      </c>
      <c r="F482" s="14"/>
      <c r="G482" s="15">
        <v>526794</v>
      </c>
    </row>
    <row r="483" spans="1:7" x14ac:dyDescent="0.3">
      <c r="A483" s="16">
        <v>2021</v>
      </c>
      <c r="B483" s="17" t="s">
        <v>52</v>
      </c>
      <c r="C483" s="17" t="s">
        <v>41</v>
      </c>
      <c r="D483" t="s">
        <v>45</v>
      </c>
      <c r="E483" s="14" t="s">
        <v>76</v>
      </c>
      <c r="F483" s="14"/>
      <c r="G483" s="18">
        <v>725473</v>
      </c>
    </row>
    <row r="484" spans="1:7" x14ac:dyDescent="0.3">
      <c r="A484" s="13">
        <v>2021</v>
      </c>
      <c r="B484" s="14" t="s">
        <v>52</v>
      </c>
      <c r="C484" s="14" t="s">
        <v>41</v>
      </c>
      <c r="D484" t="s">
        <v>45</v>
      </c>
      <c r="E484" s="17" t="s">
        <v>77</v>
      </c>
      <c r="F484" s="14"/>
      <c r="G484" s="15">
        <v>542350</v>
      </c>
    </row>
    <row r="485" spans="1:7" x14ac:dyDescent="0.3">
      <c r="A485" s="16">
        <v>2021</v>
      </c>
      <c r="B485" s="17" t="s">
        <v>52</v>
      </c>
      <c r="C485" s="17" t="s">
        <v>41</v>
      </c>
      <c r="D485" t="s">
        <v>45</v>
      </c>
      <c r="E485" s="14" t="s">
        <v>77</v>
      </c>
      <c r="F485" s="14"/>
      <c r="G485" s="18">
        <v>439390</v>
      </c>
    </row>
    <row r="486" spans="1:7" x14ac:dyDescent="0.3">
      <c r="A486" s="13">
        <v>2021</v>
      </c>
      <c r="B486" s="14" t="s">
        <v>52</v>
      </c>
      <c r="C486" s="14" t="s">
        <v>41</v>
      </c>
      <c r="D486" t="s">
        <v>45</v>
      </c>
      <c r="E486" s="17" t="s">
        <v>77</v>
      </c>
      <c r="F486" s="14"/>
      <c r="G486" s="15">
        <v>440149</v>
      </c>
    </row>
    <row r="487" spans="1:7" x14ac:dyDescent="0.3">
      <c r="A487" s="16">
        <v>2021</v>
      </c>
      <c r="B487" s="17" t="s">
        <v>52</v>
      </c>
      <c r="C487" s="17" t="s">
        <v>41</v>
      </c>
      <c r="D487" t="s">
        <v>45</v>
      </c>
      <c r="E487" s="14" t="s">
        <v>78</v>
      </c>
      <c r="F487" s="14"/>
      <c r="G487" s="18">
        <v>253878</v>
      </c>
    </row>
    <row r="488" spans="1:7" x14ac:dyDescent="0.3">
      <c r="A488" s="13">
        <v>2021</v>
      </c>
      <c r="B488" s="14" t="s">
        <v>52</v>
      </c>
      <c r="C488" s="14" t="s">
        <v>41</v>
      </c>
      <c r="D488" t="s">
        <v>46</v>
      </c>
      <c r="E488" s="14" t="s">
        <v>76</v>
      </c>
      <c r="F488" s="14"/>
      <c r="G488" s="15">
        <v>2049895</v>
      </c>
    </row>
    <row r="489" spans="1:7" x14ac:dyDescent="0.3">
      <c r="A489" s="16">
        <v>2021</v>
      </c>
      <c r="B489" s="17" t="s">
        <v>52</v>
      </c>
      <c r="C489" s="17" t="s">
        <v>41</v>
      </c>
      <c r="D489" t="s">
        <v>46</v>
      </c>
      <c r="E489" s="17" t="s">
        <v>76</v>
      </c>
      <c r="F489" s="14"/>
      <c r="G489" s="18">
        <v>708433</v>
      </c>
    </row>
    <row r="490" spans="1:7" x14ac:dyDescent="0.3">
      <c r="A490" s="13">
        <v>2021</v>
      </c>
      <c r="B490" s="14" t="s">
        <v>52</v>
      </c>
      <c r="C490" s="14" t="s">
        <v>41</v>
      </c>
      <c r="D490" t="s">
        <v>46</v>
      </c>
      <c r="E490" s="14" t="s">
        <v>76</v>
      </c>
      <c r="F490" s="14"/>
      <c r="G490" s="15">
        <v>1325716</v>
      </c>
    </row>
    <row r="491" spans="1:7" x14ac:dyDescent="0.3">
      <c r="A491" s="16">
        <v>2021</v>
      </c>
      <c r="B491" s="17" t="s">
        <v>52</v>
      </c>
      <c r="C491" s="17" t="s">
        <v>41</v>
      </c>
      <c r="D491" t="s">
        <v>46</v>
      </c>
      <c r="E491" s="17" t="s">
        <v>76</v>
      </c>
      <c r="F491" s="14"/>
      <c r="G491" s="18">
        <v>2078854</v>
      </c>
    </row>
    <row r="492" spans="1:7" x14ac:dyDescent="0.3">
      <c r="A492" s="13">
        <v>2021</v>
      </c>
      <c r="B492" s="14" t="s">
        <v>52</v>
      </c>
      <c r="C492" s="14" t="s">
        <v>41</v>
      </c>
      <c r="D492" t="s">
        <v>46</v>
      </c>
      <c r="E492" s="14" t="s">
        <v>76</v>
      </c>
      <c r="F492" s="14"/>
      <c r="G492" s="15">
        <v>3316641</v>
      </c>
    </row>
    <row r="493" spans="1:7" x14ac:dyDescent="0.3">
      <c r="A493" s="16">
        <v>2021</v>
      </c>
      <c r="B493" s="17" t="s">
        <v>52</v>
      </c>
      <c r="C493" s="17" t="s">
        <v>41</v>
      </c>
      <c r="D493" t="s">
        <v>46</v>
      </c>
      <c r="E493" s="17" t="s">
        <v>77</v>
      </c>
      <c r="F493" s="14"/>
      <c r="G493" s="18">
        <v>3554581</v>
      </c>
    </row>
    <row r="494" spans="1:7" x14ac:dyDescent="0.3">
      <c r="A494" s="13">
        <v>2021</v>
      </c>
      <c r="B494" s="14" t="s">
        <v>52</v>
      </c>
      <c r="C494" s="14" t="s">
        <v>41</v>
      </c>
      <c r="D494" t="s">
        <v>46</v>
      </c>
      <c r="E494" s="14" t="s">
        <v>77</v>
      </c>
      <c r="F494" s="14"/>
      <c r="G494" s="15">
        <v>1344880</v>
      </c>
    </row>
    <row r="495" spans="1:7" x14ac:dyDescent="0.3">
      <c r="A495" s="16">
        <v>2021</v>
      </c>
      <c r="B495" s="17" t="s">
        <v>52</v>
      </c>
      <c r="C495" s="17" t="s">
        <v>41</v>
      </c>
      <c r="D495" t="s">
        <v>46</v>
      </c>
      <c r="E495" s="17" t="s">
        <v>77</v>
      </c>
      <c r="F495" s="14"/>
      <c r="G495" s="18">
        <v>1952775</v>
      </c>
    </row>
    <row r="496" spans="1:7" x14ac:dyDescent="0.3">
      <c r="A496" s="13">
        <v>2021</v>
      </c>
      <c r="B496" s="14" t="s">
        <v>52</v>
      </c>
      <c r="C496" s="14" t="s">
        <v>41</v>
      </c>
      <c r="D496" t="s">
        <v>46</v>
      </c>
      <c r="E496" s="14" t="s">
        <v>78</v>
      </c>
      <c r="F496" s="14"/>
      <c r="G496" s="15">
        <v>1464552</v>
      </c>
    </row>
    <row r="497" spans="1:7" x14ac:dyDescent="0.3">
      <c r="A497" s="16">
        <v>2021</v>
      </c>
      <c r="B497" s="17" t="s">
        <v>52</v>
      </c>
      <c r="C497" s="17" t="s">
        <v>47</v>
      </c>
      <c r="D497" t="s">
        <v>42</v>
      </c>
      <c r="E497" s="14" t="s">
        <v>61</v>
      </c>
      <c r="F497" s="14"/>
      <c r="G497" s="18">
        <v>607482</v>
      </c>
    </row>
    <row r="498" spans="1:7" x14ac:dyDescent="0.3">
      <c r="A498" s="13">
        <v>2021</v>
      </c>
      <c r="B498" s="14" t="s">
        <v>52</v>
      </c>
      <c r="C498" s="14" t="s">
        <v>47</v>
      </c>
      <c r="D498" t="s">
        <v>42</v>
      </c>
      <c r="E498" s="17" t="s">
        <v>61</v>
      </c>
      <c r="F498" s="14"/>
      <c r="G498" s="15">
        <v>485281</v>
      </c>
    </row>
    <row r="499" spans="1:7" x14ac:dyDescent="0.3">
      <c r="A499" s="16">
        <v>2021</v>
      </c>
      <c r="B499" s="17" t="s">
        <v>52</v>
      </c>
      <c r="C499" s="17" t="s">
        <v>47</v>
      </c>
      <c r="D499" t="s">
        <v>42</v>
      </c>
      <c r="E499" s="14" t="s">
        <v>62</v>
      </c>
      <c r="F499" s="14"/>
      <c r="G499" s="18">
        <v>1116161</v>
      </c>
    </row>
    <row r="500" spans="1:7" x14ac:dyDescent="0.3">
      <c r="A500" s="13">
        <v>2021</v>
      </c>
      <c r="B500" s="14" t="s">
        <v>52</v>
      </c>
      <c r="C500" s="14" t="s">
        <v>47</v>
      </c>
      <c r="D500" t="s">
        <v>42</v>
      </c>
      <c r="E500" s="17" t="s">
        <v>62</v>
      </c>
      <c r="F500" s="14"/>
      <c r="G500" s="15">
        <v>1180520</v>
      </c>
    </row>
    <row r="501" spans="1:7" x14ac:dyDescent="0.3">
      <c r="A501" s="16">
        <v>2021</v>
      </c>
      <c r="B501" s="17" t="s">
        <v>52</v>
      </c>
      <c r="C501" s="17" t="s">
        <v>47</v>
      </c>
      <c r="D501" t="s">
        <v>42</v>
      </c>
      <c r="E501" s="14" t="s">
        <v>62</v>
      </c>
      <c r="F501" s="14"/>
      <c r="G501" s="18">
        <v>1419030</v>
      </c>
    </row>
    <row r="502" spans="1:7" x14ac:dyDescent="0.3">
      <c r="A502" s="13">
        <v>2021</v>
      </c>
      <c r="B502" s="14" t="s">
        <v>52</v>
      </c>
      <c r="C502" s="14" t="s">
        <v>47</v>
      </c>
      <c r="D502" t="s">
        <v>42</v>
      </c>
      <c r="E502" s="17" t="s">
        <v>62</v>
      </c>
      <c r="F502" s="14"/>
      <c r="G502" s="15">
        <v>1346423</v>
      </c>
    </row>
    <row r="503" spans="1:7" x14ac:dyDescent="0.3">
      <c r="A503" s="16">
        <v>2021</v>
      </c>
      <c r="B503" s="17" t="s">
        <v>52</v>
      </c>
      <c r="C503" s="17" t="s">
        <v>47</v>
      </c>
      <c r="D503" t="s">
        <v>42</v>
      </c>
      <c r="E503" s="14" t="s">
        <v>63</v>
      </c>
      <c r="F503" s="14"/>
      <c r="G503" s="18">
        <v>1313436</v>
      </c>
    </row>
    <row r="504" spans="1:7" x14ac:dyDescent="0.3">
      <c r="A504" s="13">
        <v>2021</v>
      </c>
      <c r="B504" s="14" t="s">
        <v>52</v>
      </c>
      <c r="C504" s="14" t="s">
        <v>47</v>
      </c>
      <c r="D504" t="s">
        <v>42</v>
      </c>
      <c r="E504" s="17" t="s">
        <v>64</v>
      </c>
      <c r="F504" s="14"/>
      <c r="G504" s="15">
        <v>890449</v>
      </c>
    </row>
    <row r="505" spans="1:7" x14ac:dyDescent="0.3">
      <c r="A505" s="16">
        <v>2021</v>
      </c>
      <c r="B505" s="17" t="s">
        <v>52</v>
      </c>
      <c r="C505" s="17" t="s">
        <v>47</v>
      </c>
      <c r="D505" t="s">
        <v>42</v>
      </c>
      <c r="E505" s="14" t="s">
        <v>75</v>
      </c>
      <c r="F505" s="14"/>
      <c r="G505" s="18">
        <v>468689</v>
      </c>
    </row>
    <row r="506" spans="1:7" x14ac:dyDescent="0.3">
      <c r="A506" s="13">
        <v>2021</v>
      </c>
      <c r="B506" s="14" t="s">
        <v>52</v>
      </c>
      <c r="C506" s="14" t="s">
        <v>47</v>
      </c>
      <c r="D506" t="s">
        <v>43</v>
      </c>
      <c r="E506" s="14" t="s">
        <v>61</v>
      </c>
      <c r="F506" s="14"/>
      <c r="G506" s="15">
        <v>369079</v>
      </c>
    </row>
    <row r="507" spans="1:7" x14ac:dyDescent="0.3">
      <c r="A507" s="16">
        <v>2021</v>
      </c>
      <c r="B507" s="17" t="s">
        <v>52</v>
      </c>
      <c r="C507" s="17" t="s">
        <v>47</v>
      </c>
      <c r="D507" t="s">
        <v>43</v>
      </c>
      <c r="E507" s="17" t="s">
        <v>61</v>
      </c>
      <c r="F507" s="14"/>
      <c r="G507" s="18">
        <v>250526</v>
      </c>
    </row>
    <row r="508" spans="1:7" x14ac:dyDescent="0.3">
      <c r="A508" s="13">
        <v>2021</v>
      </c>
      <c r="B508" s="14" t="s">
        <v>52</v>
      </c>
      <c r="C508" s="14" t="s">
        <v>47</v>
      </c>
      <c r="D508" t="s">
        <v>43</v>
      </c>
      <c r="E508" s="14" t="s">
        <v>62</v>
      </c>
      <c r="F508" s="14"/>
      <c r="G508" s="15">
        <v>496022</v>
      </c>
    </row>
    <row r="509" spans="1:7" x14ac:dyDescent="0.3">
      <c r="A509" s="16">
        <v>2021</v>
      </c>
      <c r="B509" s="17" t="s">
        <v>52</v>
      </c>
      <c r="C509" s="17" t="s">
        <v>47</v>
      </c>
      <c r="D509" t="s">
        <v>43</v>
      </c>
      <c r="E509" s="17" t="s">
        <v>62</v>
      </c>
      <c r="F509" s="14"/>
      <c r="G509" s="18">
        <v>621763</v>
      </c>
    </row>
    <row r="510" spans="1:7" x14ac:dyDescent="0.3">
      <c r="A510" s="13">
        <v>2021</v>
      </c>
      <c r="B510" s="14" t="s">
        <v>52</v>
      </c>
      <c r="C510" s="14" t="s">
        <v>47</v>
      </c>
      <c r="D510" t="s">
        <v>43</v>
      </c>
      <c r="E510" s="14" t="s">
        <v>62</v>
      </c>
      <c r="F510" s="14"/>
      <c r="G510" s="15">
        <v>830599</v>
      </c>
    </row>
    <row r="511" spans="1:7" x14ac:dyDescent="0.3">
      <c r="A511" s="16">
        <v>2021</v>
      </c>
      <c r="B511" s="17" t="s">
        <v>52</v>
      </c>
      <c r="C511" s="17" t="s">
        <v>47</v>
      </c>
      <c r="D511" t="s">
        <v>43</v>
      </c>
      <c r="E511" s="17" t="s">
        <v>62</v>
      </c>
      <c r="F511" s="14"/>
      <c r="G511" s="18">
        <v>637545</v>
      </c>
    </row>
    <row r="512" spans="1:7" x14ac:dyDescent="0.3">
      <c r="A512" s="13">
        <v>2021</v>
      </c>
      <c r="B512" s="14" t="s">
        <v>52</v>
      </c>
      <c r="C512" s="14" t="s">
        <v>47</v>
      </c>
      <c r="D512" t="s">
        <v>43</v>
      </c>
      <c r="E512" s="14" t="s">
        <v>63</v>
      </c>
      <c r="F512" s="14"/>
      <c r="G512" s="15">
        <v>515049</v>
      </c>
    </row>
    <row r="513" spans="1:7" x14ac:dyDescent="0.3">
      <c r="A513" s="16">
        <v>2021</v>
      </c>
      <c r="B513" s="17" t="s">
        <v>52</v>
      </c>
      <c r="C513" s="17" t="s">
        <v>47</v>
      </c>
      <c r="D513" t="s">
        <v>43</v>
      </c>
      <c r="E513" s="17" t="s">
        <v>64</v>
      </c>
      <c r="F513" s="14"/>
      <c r="G513" s="18">
        <v>718940</v>
      </c>
    </row>
    <row r="514" spans="1:7" x14ac:dyDescent="0.3">
      <c r="A514" s="13">
        <v>2021</v>
      </c>
      <c r="B514" s="14" t="s">
        <v>52</v>
      </c>
      <c r="C514" s="14" t="s">
        <v>47</v>
      </c>
      <c r="D514" t="s">
        <v>43</v>
      </c>
      <c r="E514" s="14" t="s">
        <v>75</v>
      </c>
      <c r="F514" s="14"/>
      <c r="G514" s="15">
        <v>866115</v>
      </c>
    </row>
    <row r="515" spans="1:7" x14ac:dyDescent="0.3">
      <c r="A515" s="16">
        <v>2021</v>
      </c>
      <c r="B515" s="17" t="s">
        <v>52</v>
      </c>
      <c r="C515" s="17" t="s">
        <v>47</v>
      </c>
      <c r="D515" t="s">
        <v>44</v>
      </c>
      <c r="E515" s="14" t="s">
        <v>61</v>
      </c>
      <c r="F515" s="14"/>
      <c r="G515" s="18">
        <v>411112</v>
      </c>
    </row>
    <row r="516" spans="1:7" x14ac:dyDescent="0.3">
      <c r="A516" s="13">
        <v>2021</v>
      </c>
      <c r="B516" s="14" t="s">
        <v>52</v>
      </c>
      <c r="C516" s="14" t="s">
        <v>47</v>
      </c>
      <c r="D516" t="s">
        <v>44</v>
      </c>
      <c r="E516" s="17" t="s">
        <v>61</v>
      </c>
      <c r="F516" s="14"/>
      <c r="G516" s="15">
        <v>266859</v>
      </c>
    </row>
    <row r="517" spans="1:7" x14ac:dyDescent="0.3">
      <c r="A517" s="16">
        <v>2021</v>
      </c>
      <c r="B517" s="17" t="s">
        <v>52</v>
      </c>
      <c r="C517" s="17" t="s">
        <v>47</v>
      </c>
      <c r="D517" t="s">
        <v>44</v>
      </c>
      <c r="E517" s="14" t="s">
        <v>62</v>
      </c>
      <c r="F517" s="14"/>
      <c r="G517" s="18">
        <v>458747</v>
      </c>
    </row>
    <row r="518" spans="1:7" x14ac:dyDescent="0.3">
      <c r="A518" s="13">
        <v>2021</v>
      </c>
      <c r="B518" s="14" t="s">
        <v>52</v>
      </c>
      <c r="C518" s="14" t="s">
        <v>47</v>
      </c>
      <c r="D518" t="s">
        <v>44</v>
      </c>
      <c r="E518" s="17" t="s">
        <v>62</v>
      </c>
      <c r="F518" s="14"/>
      <c r="G518" s="15">
        <v>562639</v>
      </c>
    </row>
    <row r="519" spans="1:7" x14ac:dyDescent="0.3">
      <c r="A519" s="16">
        <v>2021</v>
      </c>
      <c r="B519" s="17" t="s">
        <v>52</v>
      </c>
      <c r="C519" s="17" t="s">
        <v>47</v>
      </c>
      <c r="D519" t="s">
        <v>44</v>
      </c>
      <c r="E519" s="14" t="s">
        <v>62</v>
      </c>
      <c r="F519" s="14"/>
      <c r="G519" s="18">
        <v>819320</v>
      </c>
    </row>
    <row r="520" spans="1:7" x14ac:dyDescent="0.3">
      <c r="A520" s="13">
        <v>2021</v>
      </c>
      <c r="B520" s="14" t="s">
        <v>52</v>
      </c>
      <c r="C520" s="14" t="s">
        <v>47</v>
      </c>
      <c r="D520" t="s">
        <v>44</v>
      </c>
      <c r="E520" s="17" t="s">
        <v>62</v>
      </c>
      <c r="F520" s="14"/>
      <c r="G520" s="15">
        <v>790260</v>
      </c>
    </row>
    <row r="521" spans="1:7" x14ac:dyDescent="0.3">
      <c r="A521" s="16">
        <v>2021</v>
      </c>
      <c r="B521" s="17" t="s">
        <v>52</v>
      </c>
      <c r="C521" s="17" t="s">
        <v>47</v>
      </c>
      <c r="D521" t="s">
        <v>44</v>
      </c>
      <c r="E521" s="14" t="s">
        <v>63</v>
      </c>
      <c r="F521" s="14"/>
      <c r="G521" s="18">
        <v>694394</v>
      </c>
    </row>
    <row r="522" spans="1:7" x14ac:dyDescent="0.3">
      <c r="A522" s="13">
        <v>2021</v>
      </c>
      <c r="B522" s="14" t="s">
        <v>52</v>
      </c>
      <c r="C522" s="14" t="s">
        <v>47</v>
      </c>
      <c r="D522" t="s">
        <v>44</v>
      </c>
      <c r="E522" s="17" t="s">
        <v>64</v>
      </c>
      <c r="F522" s="14"/>
      <c r="G522" s="15">
        <v>850025</v>
      </c>
    </row>
    <row r="523" spans="1:7" x14ac:dyDescent="0.3">
      <c r="A523" s="16">
        <v>2021</v>
      </c>
      <c r="B523" s="17" t="s">
        <v>52</v>
      </c>
      <c r="C523" s="17" t="s">
        <v>47</v>
      </c>
      <c r="D523" t="s">
        <v>44</v>
      </c>
      <c r="E523" s="14" t="s">
        <v>75</v>
      </c>
      <c r="F523" s="14"/>
      <c r="G523" s="18">
        <v>925611</v>
      </c>
    </row>
    <row r="524" spans="1:7" x14ac:dyDescent="0.3">
      <c r="A524" s="13">
        <v>2021</v>
      </c>
      <c r="B524" s="14" t="s">
        <v>52</v>
      </c>
      <c r="C524" s="14" t="s">
        <v>47</v>
      </c>
      <c r="D524" t="s">
        <v>45</v>
      </c>
      <c r="E524" s="14" t="s">
        <v>61</v>
      </c>
      <c r="F524" s="14"/>
      <c r="G524" s="15">
        <v>463599</v>
      </c>
    </row>
    <row r="525" spans="1:7" x14ac:dyDescent="0.3">
      <c r="A525" s="16">
        <v>2021</v>
      </c>
      <c r="B525" s="17" t="s">
        <v>52</v>
      </c>
      <c r="C525" s="17" t="s">
        <v>47</v>
      </c>
      <c r="D525" t="s">
        <v>45</v>
      </c>
      <c r="E525" s="17" t="s">
        <v>61</v>
      </c>
      <c r="F525" s="14"/>
      <c r="G525" s="18">
        <v>191827</v>
      </c>
    </row>
    <row r="526" spans="1:7" x14ac:dyDescent="0.3">
      <c r="A526" s="13">
        <v>2021</v>
      </c>
      <c r="B526" s="14" t="s">
        <v>52</v>
      </c>
      <c r="C526" s="14" t="s">
        <v>47</v>
      </c>
      <c r="D526" t="s">
        <v>45</v>
      </c>
      <c r="E526" s="14" t="s">
        <v>62</v>
      </c>
      <c r="F526" s="14"/>
      <c r="G526" s="15">
        <v>425823</v>
      </c>
    </row>
    <row r="527" spans="1:7" x14ac:dyDescent="0.3">
      <c r="A527" s="16">
        <v>2021</v>
      </c>
      <c r="B527" s="17" t="s">
        <v>52</v>
      </c>
      <c r="C527" s="17" t="s">
        <v>47</v>
      </c>
      <c r="D527" t="s">
        <v>45</v>
      </c>
      <c r="E527" s="17" t="s">
        <v>62</v>
      </c>
      <c r="F527" s="14"/>
      <c r="G527" s="18">
        <v>706928</v>
      </c>
    </row>
    <row r="528" spans="1:7" x14ac:dyDescent="0.3">
      <c r="A528" s="13">
        <v>2021</v>
      </c>
      <c r="B528" s="14" t="s">
        <v>52</v>
      </c>
      <c r="C528" s="14" t="s">
        <v>47</v>
      </c>
      <c r="D528" t="s">
        <v>45</v>
      </c>
      <c r="E528" s="14" t="s">
        <v>62</v>
      </c>
      <c r="F528" s="14"/>
      <c r="G528" s="15">
        <v>826852</v>
      </c>
    </row>
    <row r="529" spans="1:7" x14ac:dyDescent="0.3">
      <c r="A529" s="16">
        <v>2021</v>
      </c>
      <c r="B529" s="17" t="s">
        <v>52</v>
      </c>
      <c r="C529" s="17" t="s">
        <v>47</v>
      </c>
      <c r="D529" t="s">
        <v>45</v>
      </c>
      <c r="E529" s="17" t="s">
        <v>62</v>
      </c>
      <c r="F529" s="14"/>
      <c r="G529" s="18">
        <v>789467</v>
      </c>
    </row>
    <row r="530" spans="1:7" x14ac:dyDescent="0.3">
      <c r="A530" s="13">
        <v>2021</v>
      </c>
      <c r="B530" s="14" t="s">
        <v>52</v>
      </c>
      <c r="C530" s="14" t="s">
        <v>47</v>
      </c>
      <c r="D530" t="s">
        <v>45</v>
      </c>
      <c r="E530" s="14" t="s">
        <v>63</v>
      </c>
      <c r="F530" s="14"/>
      <c r="G530" s="15">
        <v>705231</v>
      </c>
    </row>
    <row r="531" spans="1:7" x14ac:dyDescent="0.3">
      <c r="A531" s="16">
        <v>2021</v>
      </c>
      <c r="B531" s="17" t="s">
        <v>52</v>
      </c>
      <c r="C531" s="17" t="s">
        <v>47</v>
      </c>
      <c r="D531" t="s">
        <v>45</v>
      </c>
      <c r="E531" s="17" t="s">
        <v>64</v>
      </c>
      <c r="F531" s="14"/>
      <c r="G531" s="18">
        <v>711302</v>
      </c>
    </row>
    <row r="532" spans="1:7" x14ac:dyDescent="0.3">
      <c r="A532" s="13">
        <v>2021</v>
      </c>
      <c r="B532" s="14" t="s">
        <v>52</v>
      </c>
      <c r="C532" s="14" t="s">
        <v>47</v>
      </c>
      <c r="D532" t="s">
        <v>45</v>
      </c>
      <c r="E532" s="14" t="s">
        <v>75</v>
      </c>
      <c r="F532" s="14"/>
      <c r="G532" s="15">
        <v>754532</v>
      </c>
    </row>
    <row r="533" spans="1:7" x14ac:dyDescent="0.3">
      <c r="A533" s="16">
        <v>2021</v>
      </c>
      <c r="B533" s="17" t="s">
        <v>52</v>
      </c>
      <c r="C533" s="17" t="s">
        <v>47</v>
      </c>
      <c r="D533" t="s">
        <v>46</v>
      </c>
      <c r="E533" s="14" t="s">
        <v>61</v>
      </c>
      <c r="F533" s="14"/>
      <c r="G533" s="18">
        <v>222576</v>
      </c>
    </row>
    <row r="534" spans="1:7" x14ac:dyDescent="0.3">
      <c r="A534" s="13">
        <v>2021</v>
      </c>
      <c r="B534" s="14" t="s">
        <v>52</v>
      </c>
      <c r="C534" s="14" t="s">
        <v>47</v>
      </c>
      <c r="D534" t="s">
        <v>46</v>
      </c>
      <c r="E534" s="17" t="s">
        <v>61</v>
      </c>
      <c r="F534" s="14"/>
      <c r="G534" s="15">
        <v>76058</v>
      </c>
    </row>
    <row r="535" spans="1:7" x14ac:dyDescent="0.3">
      <c r="A535" s="16">
        <v>2021</v>
      </c>
      <c r="B535" s="17" t="s">
        <v>52</v>
      </c>
      <c r="C535" s="17" t="s">
        <v>47</v>
      </c>
      <c r="D535" t="s">
        <v>46</v>
      </c>
      <c r="E535" s="14" t="s">
        <v>62</v>
      </c>
      <c r="F535" s="14"/>
      <c r="G535" s="18">
        <v>267104</v>
      </c>
    </row>
    <row r="536" spans="1:7" x14ac:dyDescent="0.3">
      <c r="A536" s="13">
        <v>2021</v>
      </c>
      <c r="B536" s="14" t="s">
        <v>52</v>
      </c>
      <c r="C536" s="14" t="s">
        <v>47</v>
      </c>
      <c r="D536" t="s">
        <v>46</v>
      </c>
      <c r="E536" s="17" t="s">
        <v>62</v>
      </c>
      <c r="F536" s="14"/>
      <c r="G536" s="15">
        <v>814639</v>
      </c>
    </row>
    <row r="537" spans="1:7" x14ac:dyDescent="0.3">
      <c r="A537" s="16">
        <v>2021</v>
      </c>
      <c r="B537" s="17" t="s">
        <v>52</v>
      </c>
      <c r="C537" s="17" t="s">
        <v>47</v>
      </c>
      <c r="D537" t="s">
        <v>46</v>
      </c>
      <c r="E537" s="14" t="s">
        <v>62</v>
      </c>
      <c r="F537" s="14"/>
      <c r="G537" s="18">
        <v>1109504</v>
      </c>
    </row>
    <row r="538" spans="1:7" x14ac:dyDescent="0.3">
      <c r="A538" s="13">
        <v>2021</v>
      </c>
      <c r="B538" s="14" t="s">
        <v>52</v>
      </c>
      <c r="C538" s="14" t="s">
        <v>47</v>
      </c>
      <c r="D538" t="s">
        <v>46</v>
      </c>
      <c r="E538" s="17" t="s">
        <v>62</v>
      </c>
      <c r="F538" s="14"/>
      <c r="G538" s="15">
        <v>398496</v>
      </c>
    </row>
    <row r="539" spans="1:7" x14ac:dyDescent="0.3">
      <c r="A539" s="16">
        <v>2021</v>
      </c>
      <c r="B539" s="17" t="s">
        <v>52</v>
      </c>
      <c r="C539" s="17" t="s">
        <v>47</v>
      </c>
      <c r="D539" t="s">
        <v>46</v>
      </c>
      <c r="E539" s="14" t="s">
        <v>63</v>
      </c>
      <c r="F539" s="14"/>
      <c r="G539" s="18">
        <v>335699</v>
      </c>
    </row>
    <row r="540" spans="1:7" x14ac:dyDescent="0.3">
      <c r="A540" s="13">
        <v>2021</v>
      </c>
      <c r="B540" s="14" t="s">
        <v>52</v>
      </c>
      <c r="C540" s="14" t="s">
        <v>47</v>
      </c>
      <c r="D540" t="s">
        <v>46</v>
      </c>
      <c r="E540" s="17" t="s">
        <v>64</v>
      </c>
      <c r="F540" s="14"/>
      <c r="G540" s="15">
        <v>731444</v>
      </c>
    </row>
    <row r="541" spans="1:7" x14ac:dyDescent="0.3">
      <c r="A541" s="16">
        <v>2021</v>
      </c>
      <c r="B541" s="17" t="s">
        <v>52</v>
      </c>
      <c r="C541" s="17" t="s">
        <v>47</v>
      </c>
      <c r="D541" t="s">
        <v>46</v>
      </c>
      <c r="E541" s="14" t="s">
        <v>75</v>
      </c>
      <c r="F541" s="14"/>
      <c r="G541" s="18">
        <v>1752499</v>
      </c>
    </row>
    <row r="542" spans="1:7" x14ac:dyDescent="0.3">
      <c r="A542" s="13">
        <v>2021</v>
      </c>
      <c r="B542" s="14" t="s">
        <v>53</v>
      </c>
      <c r="C542" s="14" t="s">
        <v>41</v>
      </c>
      <c r="D542" t="s">
        <v>42</v>
      </c>
      <c r="E542" s="14" t="s">
        <v>76</v>
      </c>
      <c r="F542" s="14"/>
      <c r="G542" s="15">
        <v>170133</v>
      </c>
    </row>
    <row r="543" spans="1:7" x14ac:dyDescent="0.3">
      <c r="A543" s="16">
        <v>2021</v>
      </c>
      <c r="B543" s="17" t="s">
        <v>53</v>
      </c>
      <c r="C543" s="17" t="s">
        <v>41</v>
      </c>
      <c r="D543" t="s">
        <v>42</v>
      </c>
      <c r="E543" s="17" t="s">
        <v>76</v>
      </c>
      <c r="F543" s="14"/>
      <c r="G543" s="18">
        <v>64782</v>
      </c>
    </row>
    <row r="544" spans="1:7" x14ac:dyDescent="0.3">
      <c r="A544" s="13">
        <v>2021</v>
      </c>
      <c r="B544" s="14" t="s">
        <v>53</v>
      </c>
      <c r="C544" s="14" t="s">
        <v>41</v>
      </c>
      <c r="D544" t="s">
        <v>42</v>
      </c>
      <c r="E544" s="14" t="s">
        <v>76</v>
      </c>
      <c r="F544" s="14"/>
      <c r="G544" s="15">
        <v>95725</v>
      </c>
    </row>
    <row r="545" spans="1:7" x14ac:dyDescent="0.3">
      <c r="A545" s="16">
        <v>2021</v>
      </c>
      <c r="B545" s="17" t="s">
        <v>53</v>
      </c>
      <c r="C545" s="17" t="s">
        <v>41</v>
      </c>
      <c r="D545" t="s">
        <v>42</v>
      </c>
      <c r="E545" s="17" t="s">
        <v>76</v>
      </c>
      <c r="F545" s="14"/>
      <c r="G545" s="18">
        <v>109523</v>
      </c>
    </row>
    <row r="546" spans="1:7" x14ac:dyDescent="0.3">
      <c r="A546" s="13">
        <v>2021</v>
      </c>
      <c r="B546" s="14" t="s">
        <v>53</v>
      </c>
      <c r="C546" s="14" t="s">
        <v>41</v>
      </c>
      <c r="D546" t="s">
        <v>42</v>
      </c>
      <c r="E546" s="14" t="s">
        <v>76</v>
      </c>
      <c r="F546" s="14"/>
      <c r="G546" s="15">
        <v>109057</v>
      </c>
    </row>
    <row r="547" spans="1:7" x14ac:dyDescent="0.3">
      <c r="A547" s="16">
        <v>2021</v>
      </c>
      <c r="B547" s="17" t="s">
        <v>53</v>
      </c>
      <c r="C547" s="17" t="s">
        <v>41</v>
      </c>
      <c r="D547" t="s">
        <v>42</v>
      </c>
      <c r="E547" s="17" t="s">
        <v>77</v>
      </c>
      <c r="F547" s="14"/>
      <c r="G547" s="18">
        <v>109758</v>
      </c>
    </row>
    <row r="548" spans="1:7" x14ac:dyDescent="0.3">
      <c r="A548" s="13">
        <v>2021</v>
      </c>
      <c r="B548" s="14" t="s">
        <v>53</v>
      </c>
      <c r="C548" s="14" t="s">
        <v>41</v>
      </c>
      <c r="D548" t="s">
        <v>42</v>
      </c>
      <c r="E548" s="14" t="s">
        <v>77</v>
      </c>
      <c r="F548" s="14"/>
      <c r="G548" s="15">
        <v>112827</v>
      </c>
    </row>
    <row r="549" spans="1:7" x14ac:dyDescent="0.3">
      <c r="A549" s="16">
        <v>2021</v>
      </c>
      <c r="B549" s="17" t="s">
        <v>53</v>
      </c>
      <c r="C549" s="17" t="s">
        <v>41</v>
      </c>
      <c r="D549" t="s">
        <v>42</v>
      </c>
      <c r="E549" s="17" t="s">
        <v>77</v>
      </c>
      <c r="F549" s="14"/>
      <c r="G549" s="18">
        <v>123486</v>
      </c>
    </row>
    <row r="550" spans="1:7" x14ac:dyDescent="0.3">
      <c r="A550" s="13">
        <v>2021</v>
      </c>
      <c r="B550" s="14" t="s">
        <v>53</v>
      </c>
      <c r="C550" s="14" t="s">
        <v>41</v>
      </c>
      <c r="D550" t="s">
        <v>42</v>
      </c>
      <c r="E550" s="14" t="s">
        <v>78</v>
      </c>
      <c r="F550" s="14"/>
      <c r="G550" s="15">
        <v>118456</v>
      </c>
    </row>
    <row r="551" spans="1:7" x14ac:dyDescent="0.3">
      <c r="A551" s="16">
        <v>2021</v>
      </c>
      <c r="B551" s="17" t="s">
        <v>53</v>
      </c>
      <c r="C551" s="17" t="s">
        <v>41</v>
      </c>
      <c r="D551" t="s">
        <v>43</v>
      </c>
      <c r="E551" s="14" t="s">
        <v>76</v>
      </c>
      <c r="F551" s="14"/>
      <c r="G551" s="18">
        <v>212547</v>
      </c>
    </row>
    <row r="552" spans="1:7" x14ac:dyDescent="0.3">
      <c r="A552" s="13">
        <v>2021</v>
      </c>
      <c r="B552" s="14" t="s">
        <v>53</v>
      </c>
      <c r="C552" s="14" t="s">
        <v>41</v>
      </c>
      <c r="D552" t="s">
        <v>43</v>
      </c>
      <c r="E552" s="17" t="s">
        <v>76</v>
      </c>
      <c r="F552" s="14"/>
      <c r="G552" s="15">
        <v>70662</v>
      </c>
    </row>
    <row r="553" spans="1:7" x14ac:dyDescent="0.3">
      <c r="A553" s="16">
        <v>2021</v>
      </c>
      <c r="B553" s="17" t="s">
        <v>53</v>
      </c>
      <c r="C553" s="17" t="s">
        <v>41</v>
      </c>
      <c r="D553" t="s">
        <v>43</v>
      </c>
      <c r="E553" s="14" t="s">
        <v>76</v>
      </c>
      <c r="F553" s="14"/>
      <c r="G553" s="18">
        <v>110666</v>
      </c>
    </row>
    <row r="554" spans="1:7" x14ac:dyDescent="0.3">
      <c r="A554" s="13">
        <v>2021</v>
      </c>
      <c r="B554" s="14" t="s">
        <v>53</v>
      </c>
      <c r="C554" s="14" t="s">
        <v>41</v>
      </c>
      <c r="D554" t="s">
        <v>43</v>
      </c>
      <c r="E554" s="17" t="s">
        <v>76</v>
      </c>
      <c r="F554" s="14"/>
      <c r="G554" s="15">
        <v>136791</v>
      </c>
    </row>
    <row r="555" spans="1:7" x14ac:dyDescent="0.3">
      <c r="A555" s="16">
        <v>2021</v>
      </c>
      <c r="B555" s="17" t="s">
        <v>53</v>
      </c>
      <c r="C555" s="17" t="s">
        <v>41</v>
      </c>
      <c r="D555" t="s">
        <v>43</v>
      </c>
      <c r="E555" s="14" t="s">
        <v>76</v>
      </c>
      <c r="F555" s="14"/>
      <c r="G555" s="18">
        <v>139500</v>
      </c>
    </row>
    <row r="556" spans="1:7" x14ac:dyDescent="0.3">
      <c r="A556" s="13">
        <v>2021</v>
      </c>
      <c r="B556" s="14" t="s">
        <v>53</v>
      </c>
      <c r="C556" s="14" t="s">
        <v>41</v>
      </c>
      <c r="D556" t="s">
        <v>43</v>
      </c>
      <c r="E556" s="17" t="s">
        <v>77</v>
      </c>
      <c r="F556" s="14"/>
      <c r="G556" s="15">
        <v>126559</v>
      </c>
    </row>
    <row r="557" spans="1:7" x14ac:dyDescent="0.3">
      <c r="A557" s="16">
        <v>2021</v>
      </c>
      <c r="B557" s="17" t="s">
        <v>53</v>
      </c>
      <c r="C557" s="17" t="s">
        <v>41</v>
      </c>
      <c r="D557" t="s">
        <v>43</v>
      </c>
      <c r="E557" s="14" t="s">
        <v>77</v>
      </c>
      <c r="F557" s="14"/>
      <c r="G557" s="18">
        <v>118732</v>
      </c>
    </row>
    <row r="558" spans="1:7" x14ac:dyDescent="0.3">
      <c r="A558" s="13">
        <v>2021</v>
      </c>
      <c r="B558" s="14" t="s">
        <v>53</v>
      </c>
      <c r="C558" s="14" t="s">
        <v>41</v>
      </c>
      <c r="D558" t="s">
        <v>43</v>
      </c>
      <c r="E558" s="17" t="s">
        <v>77</v>
      </c>
      <c r="F558" s="14"/>
      <c r="G558" s="15">
        <v>133456</v>
      </c>
    </row>
    <row r="559" spans="1:7" x14ac:dyDescent="0.3">
      <c r="A559" s="16">
        <v>2021</v>
      </c>
      <c r="B559" s="17" t="s">
        <v>53</v>
      </c>
      <c r="C559" s="17" t="s">
        <v>41</v>
      </c>
      <c r="D559" t="s">
        <v>43</v>
      </c>
      <c r="E559" s="14" t="s">
        <v>78</v>
      </c>
      <c r="F559" s="14"/>
      <c r="G559" s="18">
        <v>88186</v>
      </c>
    </row>
    <row r="560" spans="1:7" x14ac:dyDescent="0.3">
      <c r="A560" s="13">
        <v>2021</v>
      </c>
      <c r="B560" s="14" t="s">
        <v>53</v>
      </c>
      <c r="C560" s="14" t="s">
        <v>41</v>
      </c>
      <c r="D560" t="s">
        <v>44</v>
      </c>
      <c r="E560" s="14" t="s">
        <v>76</v>
      </c>
      <c r="F560" s="14"/>
      <c r="G560" s="15">
        <v>675914</v>
      </c>
    </row>
    <row r="561" spans="1:7" x14ac:dyDescent="0.3">
      <c r="A561" s="16">
        <v>2021</v>
      </c>
      <c r="B561" s="17" t="s">
        <v>53</v>
      </c>
      <c r="C561" s="17" t="s">
        <v>41</v>
      </c>
      <c r="D561" t="s">
        <v>44</v>
      </c>
      <c r="E561" s="17" t="s">
        <v>76</v>
      </c>
      <c r="F561" s="14"/>
      <c r="G561" s="18">
        <v>163839</v>
      </c>
    </row>
    <row r="562" spans="1:7" x14ac:dyDescent="0.3">
      <c r="A562" s="13">
        <v>2021</v>
      </c>
      <c r="B562" s="14" t="s">
        <v>53</v>
      </c>
      <c r="C562" s="14" t="s">
        <v>41</v>
      </c>
      <c r="D562" t="s">
        <v>44</v>
      </c>
      <c r="E562" s="14" t="s">
        <v>76</v>
      </c>
      <c r="F562" s="14"/>
      <c r="G562" s="15">
        <v>324716</v>
      </c>
    </row>
    <row r="563" spans="1:7" x14ac:dyDescent="0.3">
      <c r="A563" s="16">
        <v>2021</v>
      </c>
      <c r="B563" s="17" t="s">
        <v>53</v>
      </c>
      <c r="C563" s="17" t="s">
        <v>41</v>
      </c>
      <c r="D563" t="s">
        <v>44</v>
      </c>
      <c r="E563" s="17" t="s">
        <v>76</v>
      </c>
      <c r="F563" s="14"/>
      <c r="G563" s="18">
        <v>381944</v>
      </c>
    </row>
    <row r="564" spans="1:7" x14ac:dyDescent="0.3">
      <c r="A564" s="13">
        <v>2021</v>
      </c>
      <c r="B564" s="14" t="s">
        <v>53</v>
      </c>
      <c r="C564" s="14" t="s">
        <v>41</v>
      </c>
      <c r="D564" t="s">
        <v>44</v>
      </c>
      <c r="E564" s="14" t="s">
        <v>76</v>
      </c>
      <c r="F564" s="14"/>
      <c r="G564" s="15">
        <v>446477</v>
      </c>
    </row>
    <row r="565" spans="1:7" x14ac:dyDescent="0.3">
      <c r="A565" s="16">
        <v>2021</v>
      </c>
      <c r="B565" s="17" t="s">
        <v>53</v>
      </c>
      <c r="C565" s="17" t="s">
        <v>41</v>
      </c>
      <c r="D565" t="s">
        <v>44</v>
      </c>
      <c r="E565" s="17" t="s">
        <v>77</v>
      </c>
      <c r="F565" s="14"/>
      <c r="G565" s="18">
        <v>426470</v>
      </c>
    </row>
    <row r="566" spans="1:7" x14ac:dyDescent="0.3">
      <c r="A566" s="13">
        <v>2021</v>
      </c>
      <c r="B566" s="14" t="s">
        <v>53</v>
      </c>
      <c r="C566" s="14" t="s">
        <v>41</v>
      </c>
      <c r="D566" t="s">
        <v>44</v>
      </c>
      <c r="E566" s="14" t="s">
        <v>77</v>
      </c>
      <c r="F566" s="14"/>
      <c r="G566" s="15">
        <v>394513</v>
      </c>
    </row>
    <row r="567" spans="1:7" x14ac:dyDescent="0.3">
      <c r="A567" s="16">
        <v>2021</v>
      </c>
      <c r="B567" s="17" t="s">
        <v>53</v>
      </c>
      <c r="C567" s="17" t="s">
        <v>41</v>
      </c>
      <c r="D567" t="s">
        <v>44</v>
      </c>
      <c r="E567" s="17" t="s">
        <v>77</v>
      </c>
      <c r="F567" s="14"/>
      <c r="G567" s="18">
        <v>425569</v>
      </c>
    </row>
    <row r="568" spans="1:7" x14ac:dyDescent="0.3">
      <c r="A568" s="13">
        <v>2021</v>
      </c>
      <c r="B568" s="14" t="s">
        <v>53</v>
      </c>
      <c r="C568" s="14" t="s">
        <v>41</v>
      </c>
      <c r="D568" t="s">
        <v>44</v>
      </c>
      <c r="E568" s="14" t="s">
        <v>78</v>
      </c>
      <c r="F568" s="14"/>
      <c r="G568" s="15">
        <v>218440</v>
      </c>
    </row>
    <row r="569" spans="1:7" x14ac:dyDescent="0.3">
      <c r="A569" s="16">
        <v>2021</v>
      </c>
      <c r="B569" s="17" t="s">
        <v>53</v>
      </c>
      <c r="C569" s="17" t="s">
        <v>41</v>
      </c>
      <c r="D569" t="s">
        <v>45</v>
      </c>
      <c r="E569" s="14" t="s">
        <v>76</v>
      </c>
      <c r="F569" s="14"/>
      <c r="G569" s="18">
        <v>1596618</v>
      </c>
    </row>
    <row r="570" spans="1:7" x14ac:dyDescent="0.3">
      <c r="A570" s="13">
        <v>2021</v>
      </c>
      <c r="B570" s="14" t="s">
        <v>53</v>
      </c>
      <c r="C570" s="14" t="s">
        <v>41</v>
      </c>
      <c r="D570" t="s">
        <v>45</v>
      </c>
      <c r="E570" s="17" t="s">
        <v>76</v>
      </c>
      <c r="F570" s="14"/>
      <c r="G570" s="15">
        <v>387982</v>
      </c>
    </row>
    <row r="571" spans="1:7" x14ac:dyDescent="0.3">
      <c r="A571" s="16">
        <v>2021</v>
      </c>
      <c r="B571" s="17" t="s">
        <v>53</v>
      </c>
      <c r="C571" s="17" t="s">
        <v>41</v>
      </c>
      <c r="D571" t="s">
        <v>45</v>
      </c>
      <c r="E571" s="14" t="s">
        <v>76</v>
      </c>
      <c r="F571" s="14"/>
      <c r="G571" s="18">
        <v>622274</v>
      </c>
    </row>
    <row r="572" spans="1:7" x14ac:dyDescent="0.3">
      <c r="A572" s="13">
        <v>2021</v>
      </c>
      <c r="B572" s="14" t="s">
        <v>53</v>
      </c>
      <c r="C572" s="14" t="s">
        <v>41</v>
      </c>
      <c r="D572" t="s">
        <v>45</v>
      </c>
      <c r="E572" s="17" t="s">
        <v>76</v>
      </c>
      <c r="F572" s="14"/>
      <c r="G572" s="15">
        <v>804641</v>
      </c>
    </row>
    <row r="573" spans="1:7" x14ac:dyDescent="0.3">
      <c r="A573" s="16">
        <v>2021</v>
      </c>
      <c r="B573" s="17" t="s">
        <v>53</v>
      </c>
      <c r="C573" s="17" t="s">
        <v>41</v>
      </c>
      <c r="D573" t="s">
        <v>45</v>
      </c>
      <c r="E573" s="14" t="s">
        <v>76</v>
      </c>
      <c r="F573" s="14"/>
      <c r="G573" s="18">
        <v>1027819</v>
      </c>
    </row>
    <row r="574" spans="1:7" x14ac:dyDescent="0.3">
      <c r="A574" s="13">
        <v>2021</v>
      </c>
      <c r="B574" s="14" t="s">
        <v>53</v>
      </c>
      <c r="C574" s="14" t="s">
        <v>41</v>
      </c>
      <c r="D574" t="s">
        <v>45</v>
      </c>
      <c r="E574" s="17" t="s">
        <v>77</v>
      </c>
      <c r="F574" s="14"/>
      <c r="G574" s="15">
        <v>991589</v>
      </c>
    </row>
    <row r="575" spans="1:7" x14ac:dyDescent="0.3">
      <c r="A575" s="16">
        <v>2021</v>
      </c>
      <c r="B575" s="17" t="s">
        <v>53</v>
      </c>
      <c r="C575" s="17" t="s">
        <v>41</v>
      </c>
      <c r="D575" t="s">
        <v>45</v>
      </c>
      <c r="E575" s="14" t="s">
        <v>77</v>
      </c>
      <c r="F575" s="14"/>
      <c r="G575" s="18">
        <v>840641</v>
      </c>
    </row>
    <row r="576" spans="1:7" x14ac:dyDescent="0.3">
      <c r="A576" s="13">
        <v>2021</v>
      </c>
      <c r="B576" s="14" t="s">
        <v>53</v>
      </c>
      <c r="C576" s="14" t="s">
        <v>41</v>
      </c>
      <c r="D576" t="s">
        <v>45</v>
      </c>
      <c r="E576" s="17" t="s">
        <v>77</v>
      </c>
      <c r="F576" s="14"/>
      <c r="G576" s="15">
        <v>973404</v>
      </c>
    </row>
    <row r="577" spans="1:7" x14ac:dyDescent="0.3">
      <c r="A577" s="16">
        <v>2021</v>
      </c>
      <c r="B577" s="17" t="s">
        <v>53</v>
      </c>
      <c r="C577" s="17" t="s">
        <v>41</v>
      </c>
      <c r="D577" t="s">
        <v>45</v>
      </c>
      <c r="E577" s="14" t="s">
        <v>78</v>
      </c>
      <c r="F577" s="14"/>
      <c r="G577" s="18">
        <v>537369</v>
      </c>
    </row>
    <row r="578" spans="1:7" x14ac:dyDescent="0.3">
      <c r="A578" s="13">
        <v>2021</v>
      </c>
      <c r="B578" s="14" t="s">
        <v>53</v>
      </c>
      <c r="C578" s="14" t="s">
        <v>41</v>
      </c>
      <c r="D578" t="s">
        <v>46</v>
      </c>
      <c r="E578" s="14" t="s">
        <v>76</v>
      </c>
      <c r="F578" s="14"/>
      <c r="G578" s="15">
        <v>4824608</v>
      </c>
    </row>
    <row r="579" spans="1:7" x14ac:dyDescent="0.3">
      <c r="A579" s="16">
        <v>2021</v>
      </c>
      <c r="B579" s="17" t="s">
        <v>53</v>
      </c>
      <c r="C579" s="17" t="s">
        <v>41</v>
      </c>
      <c r="D579" t="s">
        <v>46</v>
      </c>
      <c r="E579" s="17" t="s">
        <v>76</v>
      </c>
      <c r="F579" s="14"/>
      <c r="G579" s="18">
        <v>1467539</v>
      </c>
    </row>
    <row r="580" spans="1:7" x14ac:dyDescent="0.3">
      <c r="A580" s="13">
        <v>2021</v>
      </c>
      <c r="B580" s="14" t="s">
        <v>53</v>
      </c>
      <c r="C580" s="14" t="s">
        <v>41</v>
      </c>
      <c r="D580" t="s">
        <v>46</v>
      </c>
      <c r="E580" s="14" t="s">
        <v>76</v>
      </c>
      <c r="F580" s="14"/>
      <c r="G580" s="15">
        <v>2548238</v>
      </c>
    </row>
    <row r="581" spans="1:7" x14ac:dyDescent="0.3">
      <c r="A581" s="16">
        <v>2021</v>
      </c>
      <c r="B581" s="17" t="s">
        <v>53</v>
      </c>
      <c r="C581" s="17" t="s">
        <v>41</v>
      </c>
      <c r="D581" t="s">
        <v>46</v>
      </c>
      <c r="E581" s="17" t="s">
        <v>76</v>
      </c>
      <c r="F581" s="14"/>
      <c r="G581" s="18">
        <v>3290449</v>
      </c>
    </row>
    <row r="582" spans="1:7" x14ac:dyDescent="0.3">
      <c r="A582" s="13">
        <v>2021</v>
      </c>
      <c r="B582" s="14" t="s">
        <v>53</v>
      </c>
      <c r="C582" s="14" t="s">
        <v>41</v>
      </c>
      <c r="D582" t="s">
        <v>46</v>
      </c>
      <c r="E582" s="14" t="s">
        <v>76</v>
      </c>
      <c r="F582" s="14"/>
      <c r="G582" s="15">
        <v>5411325</v>
      </c>
    </row>
    <row r="583" spans="1:7" x14ac:dyDescent="0.3">
      <c r="A583" s="16">
        <v>2021</v>
      </c>
      <c r="B583" s="17" t="s">
        <v>53</v>
      </c>
      <c r="C583" s="17" t="s">
        <v>41</v>
      </c>
      <c r="D583" t="s">
        <v>46</v>
      </c>
      <c r="E583" s="17" t="s">
        <v>77</v>
      </c>
      <c r="F583" s="14"/>
      <c r="G583" s="18">
        <v>4793425</v>
      </c>
    </row>
    <row r="584" spans="1:7" x14ac:dyDescent="0.3">
      <c r="A584" s="13">
        <v>2021</v>
      </c>
      <c r="B584" s="14" t="s">
        <v>53</v>
      </c>
      <c r="C584" s="14" t="s">
        <v>41</v>
      </c>
      <c r="D584" t="s">
        <v>46</v>
      </c>
      <c r="E584" s="14" t="s">
        <v>77</v>
      </c>
      <c r="F584" s="14"/>
      <c r="G584" s="15">
        <v>2863476</v>
      </c>
    </row>
    <row r="585" spans="1:7" x14ac:dyDescent="0.3">
      <c r="A585" s="16">
        <v>2021</v>
      </c>
      <c r="B585" s="17" t="s">
        <v>53</v>
      </c>
      <c r="C585" s="17" t="s">
        <v>41</v>
      </c>
      <c r="D585" t="s">
        <v>46</v>
      </c>
      <c r="E585" s="17" t="s">
        <v>77</v>
      </c>
      <c r="F585" s="14"/>
      <c r="G585" s="18">
        <v>5531235</v>
      </c>
    </row>
    <row r="586" spans="1:7" x14ac:dyDescent="0.3">
      <c r="A586" s="13">
        <v>2021</v>
      </c>
      <c r="B586" s="14" t="s">
        <v>53</v>
      </c>
      <c r="C586" s="14" t="s">
        <v>41</v>
      </c>
      <c r="D586" t="s">
        <v>46</v>
      </c>
      <c r="E586" s="14" t="s">
        <v>78</v>
      </c>
      <c r="F586" s="14"/>
      <c r="G586" s="15">
        <v>3188337</v>
      </c>
    </row>
    <row r="587" spans="1:7" x14ac:dyDescent="0.3">
      <c r="A587" s="16">
        <v>2021</v>
      </c>
      <c r="B587" s="17" t="s">
        <v>53</v>
      </c>
      <c r="C587" s="17" t="s">
        <v>47</v>
      </c>
      <c r="D587" t="s">
        <v>42</v>
      </c>
      <c r="E587" s="14" t="s">
        <v>61</v>
      </c>
      <c r="F587" s="14"/>
      <c r="G587" s="18">
        <v>3520683</v>
      </c>
    </row>
    <row r="588" spans="1:7" x14ac:dyDescent="0.3">
      <c r="A588" s="13">
        <v>2021</v>
      </c>
      <c r="B588" s="14" t="s">
        <v>53</v>
      </c>
      <c r="C588" s="14" t="s">
        <v>47</v>
      </c>
      <c r="D588" t="s">
        <v>42</v>
      </c>
      <c r="E588" s="17" t="s">
        <v>61</v>
      </c>
      <c r="F588" s="14"/>
      <c r="G588" s="15">
        <v>1524991</v>
      </c>
    </row>
    <row r="589" spans="1:7" x14ac:dyDescent="0.3">
      <c r="A589" s="16">
        <v>2021</v>
      </c>
      <c r="B589" s="17" t="s">
        <v>53</v>
      </c>
      <c r="C589" s="17" t="s">
        <v>47</v>
      </c>
      <c r="D589" t="s">
        <v>42</v>
      </c>
      <c r="E589" s="14" t="s">
        <v>62</v>
      </c>
      <c r="F589" s="14"/>
      <c r="G589" s="18">
        <v>2911838</v>
      </c>
    </row>
    <row r="590" spans="1:7" x14ac:dyDescent="0.3">
      <c r="A590" s="13">
        <v>2021</v>
      </c>
      <c r="B590" s="14" t="s">
        <v>53</v>
      </c>
      <c r="C590" s="14" t="s">
        <v>47</v>
      </c>
      <c r="D590" t="s">
        <v>42</v>
      </c>
      <c r="E590" s="17" t="s">
        <v>62</v>
      </c>
      <c r="F590" s="14"/>
      <c r="G590" s="15">
        <v>3609799</v>
      </c>
    </row>
    <row r="591" spans="1:7" x14ac:dyDescent="0.3">
      <c r="A591" s="16">
        <v>2021</v>
      </c>
      <c r="B591" s="17" t="s">
        <v>53</v>
      </c>
      <c r="C591" s="17" t="s">
        <v>47</v>
      </c>
      <c r="D591" t="s">
        <v>42</v>
      </c>
      <c r="E591" s="14" t="s">
        <v>62</v>
      </c>
      <c r="F591" s="14"/>
      <c r="G591" s="18">
        <v>4123047</v>
      </c>
    </row>
    <row r="592" spans="1:7" x14ac:dyDescent="0.3">
      <c r="A592" s="13">
        <v>2021</v>
      </c>
      <c r="B592" s="14" t="s">
        <v>53</v>
      </c>
      <c r="C592" s="14" t="s">
        <v>47</v>
      </c>
      <c r="D592" t="s">
        <v>42</v>
      </c>
      <c r="E592" s="17" t="s">
        <v>62</v>
      </c>
      <c r="F592" s="14"/>
      <c r="G592" s="15">
        <v>3786545</v>
      </c>
    </row>
    <row r="593" spans="1:7" x14ac:dyDescent="0.3">
      <c r="A593" s="16">
        <v>2021</v>
      </c>
      <c r="B593" s="17" t="s">
        <v>53</v>
      </c>
      <c r="C593" s="17" t="s">
        <v>47</v>
      </c>
      <c r="D593" t="s">
        <v>42</v>
      </c>
      <c r="E593" s="14" t="s">
        <v>63</v>
      </c>
      <c r="F593" s="14"/>
      <c r="G593" s="18">
        <v>3139958</v>
      </c>
    </row>
    <row r="594" spans="1:7" x14ac:dyDescent="0.3">
      <c r="A594" s="13">
        <v>2021</v>
      </c>
      <c r="B594" s="14" t="s">
        <v>53</v>
      </c>
      <c r="C594" s="14" t="s">
        <v>47</v>
      </c>
      <c r="D594" t="s">
        <v>42</v>
      </c>
      <c r="E594" s="17" t="s">
        <v>64</v>
      </c>
      <c r="F594" s="14"/>
      <c r="G594" s="15">
        <v>2909259</v>
      </c>
    </row>
    <row r="595" spans="1:7" x14ac:dyDescent="0.3">
      <c r="A595" s="16">
        <v>2021</v>
      </c>
      <c r="B595" s="17" t="s">
        <v>53</v>
      </c>
      <c r="C595" s="17" t="s">
        <v>47</v>
      </c>
      <c r="D595" t="s">
        <v>42</v>
      </c>
      <c r="E595" s="14" t="s">
        <v>75</v>
      </c>
      <c r="F595" s="14"/>
      <c r="G595" s="18">
        <v>1851958</v>
      </c>
    </row>
    <row r="596" spans="1:7" x14ac:dyDescent="0.3">
      <c r="A596" s="13">
        <v>2021</v>
      </c>
      <c r="B596" s="14" t="s">
        <v>53</v>
      </c>
      <c r="C596" s="14" t="s">
        <v>47</v>
      </c>
      <c r="D596" t="s">
        <v>43</v>
      </c>
      <c r="E596" s="14" t="s">
        <v>61</v>
      </c>
      <c r="F596" s="14"/>
      <c r="G596" s="15">
        <v>1465987</v>
      </c>
    </row>
    <row r="597" spans="1:7" x14ac:dyDescent="0.3">
      <c r="A597" s="16">
        <v>2021</v>
      </c>
      <c r="B597" s="17" t="s">
        <v>53</v>
      </c>
      <c r="C597" s="17" t="s">
        <v>47</v>
      </c>
      <c r="D597" t="s">
        <v>43</v>
      </c>
      <c r="E597" s="17" t="s">
        <v>61</v>
      </c>
      <c r="F597" s="14"/>
      <c r="G597" s="18">
        <v>586651</v>
      </c>
    </row>
    <row r="598" spans="1:7" x14ac:dyDescent="0.3">
      <c r="A598" s="13">
        <v>2021</v>
      </c>
      <c r="B598" s="14" t="s">
        <v>53</v>
      </c>
      <c r="C598" s="14" t="s">
        <v>47</v>
      </c>
      <c r="D598" t="s">
        <v>43</v>
      </c>
      <c r="E598" s="14" t="s">
        <v>62</v>
      </c>
      <c r="F598" s="14"/>
      <c r="G598" s="15">
        <v>875299</v>
      </c>
    </row>
    <row r="599" spans="1:7" x14ac:dyDescent="0.3">
      <c r="A599" s="16">
        <v>2021</v>
      </c>
      <c r="B599" s="17" t="s">
        <v>53</v>
      </c>
      <c r="C599" s="17" t="s">
        <v>47</v>
      </c>
      <c r="D599" t="s">
        <v>43</v>
      </c>
      <c r="E599" s="17" t="s">
        <v>62</v>
      </c>
      <c r="F599" s="14"/>
      <c r="G599" s="18">
        <v>1304281</v>
      </c>
    </row>
    <row r="600" spans="1:7" x14ac:dyDescent="0.3">
      <c r="A600" s="13">
        <v>2021</v>
      </c>
      <c r="B600" s="14" t="s">
        <v>53</v>
      </c>
      <c r="C600" s="14" t="s">
        <v>47</v>
      </c>
      <c r="D600" t="s">
        <v>43</v>
      </c>
      <c r="E600" s="14" t="s">
        <v>62</v>
      </c>
      <c r="F600" s="14"/>
      <c r="G600" s="15">
        <v>1733582</v>
      </c>
    </row>
    <row r="601" spans="1:7" x14ac:dyDescent="0.3">
      <c r="A601" s="16">
        <v>2021</v>
      </c>
      <c r="B601" s="17" t="s">
        <v>53</v>
      </c>
      <c r="C601" s="17" t="s">
        <v>47</v>
      </c>
      <c r="D601" t="s">
        <v>43</v>
      </c>
      <c r="E601" s="17" t="s">
        <v>62</v>
      </c>
      <c r="F601" s="14"/>
      <c r="G601" s="18">
        <v>1477983</v>
      </c>
    </row>
    <row r="602" spans="1:7" x14ac:dyDescent="0.3">
      <c r="A602" s="13">
        <v>2021</v>
      </c>
      <c r="B602" s="14" t="s">
        <v>53</v>
      </c>
      <c r="C602" s="14" t="s">
        <v>47</v>
      </c>
      <c r="D602" t="s">
        <v>43</v>
      </c>
      <c r="E602" s="14" t="s">
        <v>63</v>
      </c>
      <c r="F602" s="14"/>
      <c r="G602" s="15">
        <v>1302935</v>
      </c>
    </row>
    <row r="603" spans="1:7" x14ac:dyDescent="0.3">
      <c r="A603" s="16">
        <v>2021</v>
      </c>
      <c r="B603" s="17" t="s">
        <v>53</v>
      </c>
      <c r="C603" s="17" t="s">
        <v>47</v>
      </c>
      <c r="D603" t="s">
        <v>43</v>
      </c>
      <c r="E603" s="17" t="s">
        <v>64</v>
      </c>
      <c r="F603" s="14"/>
      <c r="G603" s="18">
        <v>2215196</v>
      </c>
    </row>
    <row r="604" spans="1:7" x14ac:dyDescent="0.3">
      <c r="A604" s="13">
        <v>2021</v>
      </c>
      <c r="B604" s="14" t="s">
        <v>53</v>
      </c>
      <c r="C604" s="14" t="s">
        <v>47</v>
      </c>
      <c r="D604" t="s">
        <v>43</v>
      </c>
      <c r="E604" s="14" t="s">
        <v>75</v>
      </c>
      <c r="F604" s="14"/>
      <c r="G604" s="15">
        <v>2043203</v>
      </c>
    </row>
    <row r="605" spans="1:7" x14ac:dyDescent="0.3">
      <c r="A605" s="16">
        <v>2021</v>
      </c>
      <c r="B605" s="17" t="s">
        <v>53</v>
      </c>
      <c r="C605" s="17" t="s">
        <v>47</v>
      </c>
      <c r="D605" t="s">
        <v>44</v>
      </c>
      <c r="E605" s="14" t="s">
        <v>61</v>
      </c>
      <c r="F605" s="14"/>
      <c r="G605" s="18">
        <v>1559544</v>
      </c>
    </row>
    <row r="606" spans="1:7" x14ac:dyDescent="0.3">
      <c r="A606" s="13">
        <v>2021</v>
      </c>
      <c r="B606" s="14" t="s">
        <v>53</v>
      </c>
      <c r="C606" s="14" t="s">
        <v>47</v>
      </c>
      <c r="D606" t="s">
        <v>44</v>
      </c>
      <c r="E606" s="17" t="s">
        <v>61</v>
      </c>
      <c r="F606" s="14"/>
      <c r="G606" s="15">
        <v>644061</v>
      </c>
    </row>
    <row r="607" spans="1:7" x14ac:dyDescent="0.3">
      <c r="A607" s="16">
        <v>2021</v>
      </c>
      <c r="B607" s="17" t="s">
        <v>53</v>
      </c>
      <c r="C607" s="17" t="s">
        <v>47</v>
      </c>
      <c r="D607" t="s">
        <v>44</v>
      </c>
      <c r="E607" s="14" t="s">
        <v>62</v>
      </c>
      <c r="F607" s="14"/>
      <c r="G607" s="18">
        <v>824649</v>
      </c>
    </row>
    <row r="608" spans="1:7" x14ac:dyDescent="0.3">
      <c r="A608" s="13">
        <v>2021</v>
      </c>
      <c r="B608" s="14" t="s">
        <v>53</v>
      </c>
      <c r="C608" s="14" t="s">
        <v>47</v>
      </c>
      <c r="D608" t="s">
        <v>44</v>
      </c>
      <c r="E608" s="17" t="s">
        <v>62</v>
      </c>
      <c r="F608" s="14"/>
      <c r="G608" s="15">
        <v>875039</v>
      </c>
    </row>
    <row r="609" spans="1:7" x14ac:dyDescent="0.3">
      <c r="A609" s="16">
        <v>2021</v>
      </c>
      <c r="B609" s="17" t="s">
        <v>53</v>
      </c>
      <c r="C609" s="17" t="s">
        <v>47</v>
      </c>
      <c r="D609" t="s">
        <v>44</v>
      </c>
      <c r="E609" s="14" t="s">
        <v>62</v>
      </c>
      <c r="F609" s="14"/>
      <c r="G609" s="18">
        <v>1249104</v>
      </c>
    </row>
    <row r="610" spans="1:7" x14ac:dyDescent="0.3">
      <c r="A610" s="13">
        <v>2021</v>
      </c>
      <c r="B610" s="14" t="s">
        <v>53</v>
      </c>
      <c r="C610" s="14" t="s">
        <v>47</v>
      </c>
      <c r="D610" t="s">
        <v>44</v>
      </c>
      <c r="E610" s="17" t="s">
        <v>62</v>
      </c>
      <c r="F610" s="14"/>
      <c r="G610" s="15">
        <v>1467915</v>
      </c>
    </row>
    <row r="611" spans="1:7" x14ac:dyDescent="0.3">
      <c r="A611" s="16">
        <v>2021</v>
      </c>
      <c r="B611" s="17" t="s">
        <v>53</v>
      </c>
      <c r="C611" s="17" t="s">
        <v>47</v>
      </c>
      <c r="D611" t="s">
        <v>44</v>
      </c>
      <c r="E611" s="14" t="s">
        <v>63</v>
      </c>
      <c r="F611" s="14"/>
      <c r="G611" s="18">
        <v>1447608</v>
      </c>
    </row>
    <row r="612" spans="1:7" x14ac:dyDescent="0.3">
      <c r="A612" s="13">
        <v>2021</v>
      </c>
      <c r="B612" s="14" t="s">
        <v>53</v>
      </c>
      <c r="C612" s="14" t="s">
        <v>47</v>
      </c>
      <c r="D612" t="s">
        <v>44</v>
      </c>
      <c r="E612" s="17" t="s">
        <v>64</v>
      </c>
      <c r="F612" s="14"/>
      <c r="G612" s="15">
        <v>1810441</v>
      </c>
    </row>
    <row r="613" spans="1:7" x14ac:dyDescent="0.3">
      <c r="A613" s="16">
        <v>2021</v>
      </c>
      <c r="B613" s="17" t="s">
        <v>53</v>
      </c>
      <c r="C613" s="17" t="s">
        <v>47</v>
      </c>
      <c r="D613" t="s">
        <v>44</v>
      </c>
      <c r="E613" s="14" t="s">
        <v>75</v>
      </c>
      <c r="F613" s="14"/>
      <c r="G613" s="18">
        <v>1471425</v>
      </c>
    </row>
    <row r="614" spans="1:7" x14ac:dyDescent="0.3">
      <c r="A614" s="13">
        <v>2021</v>
      </c>
      <c r="B614" s="14" t="s">
        <v>53</v>
      </c>
      <c r="C614" s="14" t="s">
        <v>47</v>
      </c>
      <c r="D614" t="s">
        <v>45</v>
      </c>
      <c r="E614" s="14" t="s">
        <v>61</v>
      </c>
      <c r="F614" s="14"/>
      <c r="G614" s="15">
        <v>1993024</v>
      </c>
    </row>
    <row r="615" spans="1:7" x14ac:dyDescent="0.3">
      <c r="A615" s="16">
        <v>2021</v>
      </c>
      <c r="B615" s="17" t="s">
        <v>53</v>
      </c>
      <c r="C615" s="17" t="s">
        <v>47</v>
      </c>
      <c r="D615" t="s">
        <v>45</v>
      </c>
      <c r="E615" s="17" t="s">
        <v>61</v>
      </c>
      <c r="F615" s="14"/>
      <c r="G615" s="18">
        <v>539936</v>
      </c>
    </row>
    <row r="616" spans="1:7" x14ac:dyDescent="0.3">
      <c r="A616" s="13">
        <v>2021</v>
      </c>
      <c r="B616" s="14" t="s">
        <v>53</v>
      </c>
      <c r="C616" s="14" t="s">
        <v>47</v>
      </c>
      <c r="D616" t="s">
        <v>45</v>
      </c>
      <c r="E616" s="14" t="s">
        <v>62</v>
      </c>
      <c r="F616" s="14"/>
      <c r="G616" s="15">
        <v>993109</v>
      </c>
    </row>
    <row r="617" spans="1:7" x14ac:dyDescent="0.3">
      <c r="A617" s="16">
        <v>2021</v>
      </c>
      <c r="B617" s="17" t="s">
        <v>53</v>
      </c>
      <c r="C617" s="17" t="s">
        <v>47</v>
      </c>
      <c r="D617" t="s">
        <v>45</v>
      </c>
      <c r="E617" s="17" t="s">
        <v>62</v>
      </c>
      <c r="F617" s="14"/>
      <c r="G617" s="18">
        <v>1217516</v>
      </c>
    </row>
    <row r="618" spans="1:7" x14ac:dyDescent="0.3">
      <c r="A618" s="13">
        <v>2021</v>
      </c>
      <c r="B618" s="14" t="s">
        <v>53</v>
      </c>
      <c r="C618" s="14" t="s">
        <v>47</v>
      </c>
      <c r="D618" t="s">
        <v>45</v>
      </c>
      <c r="E618" s="14" t="s">
        <v>62</v>
      </c>
      <c r="F618" s="14"/>
      <c r="G618" s="15">
        <v>1071391</v>
      </c>
    </row>
    <row r="619" spans="1:7" x14ac:dyDescent="0.3">
      <c r="A619" s="16">
        <v>2021</v>
      </c>
      <c r="B619" s="17" t="s">
        <v>53</v>
      </c>
      <c r="C619" s="17" t="s">
        <v>47</v>
      </c>
      <c r="D619" t="s">
        <v>45</v>
      </c>
      <c r="E619" s="17" t="s">
        <v>62</v>
      </c>
      <c r="F619" s="14"/>
      <c r="G619" s="18">
        <v>1282062</v>
      </c>
    </row>
    <row r="620" spans="1:7" x14ac:dyDescent="0.3">
      <c r="A620" s="13">
        <v>2021</v>
      </c>
      <c r="B620" s="14" t="s">
        <v>53</v>
      </c>
      <c r="C620" s="14" t="s">
        <v>47</v>
      </c>
      <c r="D620" t="s">
        <v>45</v>
      </c>
      <c r="E620" s="14" t="s">
        <v>63</v>
      </c>
      <c r="F620" s="14"/>
      <c r="G620" s="15">
        <v>1117425</v>
      </c>
    </row>
    <row r="621" spans="1:7" x14ac:dyDescent="0.3">
      <c r="A621" s="16">
        <v>2021</v>
      </c>
      <c r="B621" s="17" t="s">
        <v>53</v>
      </c>
      <c r="C621" s="17" t="s">
        <v>47</v>
      </c>
      <c r="D621" t="s">
        <v>45</v>
      </c>
      <c r="E621" s="17" t="s">
        <v>64</v>
      </c>
      <c r="F621" s="14"/>
      <c r="G621" s="18">
        <v>1122973</v>
      </c>
    </row>
    <row r="622" spans="1:7" x14ac:dyDescent="0.3">
      <c r="A622" s="13">
        <v>2021</v>
      </c>
      <c r="B622" s="14" t="s">
        <v>53</v>
      </c>
      <c r="C622" s="14" t="s">
        <v>47</v>
      </c>
      <c r="D622" t="s">
        <v>45</v>
      </c>
      <c r="E622" s="14" t="s">
        <v>75</v>
      </c>
      <c r="F622" s="14"/>
      <c r="G622" s="15">
        <v>1054927</v>
      </c>
    </row>
    <row r="623" spans="1:7" x14ac:dyDescent="0.3">
      <c r="A623" s="16">
        <v>2021</v>
      </c>
      <c r="B623" s="17" t="s">
        <v>53</v>
      </c>
      <c r="C623" s="17" t="s">
        <v>47</v>
      </c>
      <c r="D623" t="s">
        <v>46</v>
      </c>
      <c r="E623" s="14" t="s">
        <v>61</v>
      </c>
      <c r="F623" s="14"/>
      <c r="G623" s="18">
        <v>1383824</v>
      </c>
    </row>
    <row r="624" spans="1:7" x14ac:dyDescent="0.3">
      <c r="A624" s="13">
        <v>2021</v>
      </c>
      <c r="B624" s="14" t="s">
        <v>53</v>
      </c>
      <c r="C624" s="14" t="s">
        <v>47</v>
      </c>
      <c r="D624" t="s">
        <v>46</v>
      </c>
      <c r="E624" s="17" t="s">
        <v>61</v>
      </c>
      <c r="F624" s="14"/>
      <c r="G624" s="15">
        <v>167090</v>
      </c>
    </row>
    <row r="625" spans="1:7" x14ac:dyDescent="0.3">
      <c r="A625" s="16">
        <v>2021</v>
      </c>
      <c r="B625" s="17" t="s">
        <v>53</v>
      </c>
      <c r="C625" s="17" t="s">
        <v>47</v>
      </c>
      <c r="D625" t="s">
        <v>46</v>
      </c>
      <c r="E625" s="14" t="s">
        <v>62</v>
      </c>
      <c r="F625" s="14"/>
      <c r="G625" s="18">
        <v>438365</v>
      </c>
    </row>
    <row r="626" spans="1:7" x14ac:dyDescent="0.3">
      <c r="A626" s="13">
        <v>2021</v>
      </c>
      <c r="B626" s="14" t="s">
        <v>53</v>
      </c>
      <c r="C626" s="14" t="s">
        <v>47</v>
      </c>
      <c r="D626" t="s">
        <v>46</v>
      </c>
      <c r="E626" s="17" t="s">
        <v>62</v>
      </c>
      <c r="F626" s="14"/>
      <c r="G626" s="15">
        <v>1333693</v>
      </c>
    </row>
    <row r="627" spans="1:7" x14ac:dyDescent="0.3">
      <c r="A627" s="16">
        <v>2021</v>
      </c>
      <c r="B627" s="17" t="s">
        <v>53</v>
      </c>
      <c r="C627" s="17" t="s">
        <v>47</v>
      </c>
      <c r="D627" t="s">
        <v>46</v>
      </c>
      <c r="E627" s="14" t="s">
        <v>62</v>
      </c>
      <c r="F627" s="14"/>
      <c r="G627" s="18">
        <v>2306802</v>
      </c>
    </row>
    <row r="628" spans="1:7" x14ac:dyDescent="0.3">
      <c r="A628" s="13">
        <v>2021</v>
      </c>
      <c r="B628" s="14" t="s">
        <v>53</v>
      </c>
      <c r="C628" s="14" t="s">
        <v>47</v>
      </c>
      <c r="D628" t="s">
        <v>46</v>
      </c>
      <c r="E628" s="17" t="s">
        <v>62</v>
      </c>
      <c r="F628" s="14"/>
      <c r="G628" s="15">
        <v>668701</v>
      </c>
    </row>
    <row r="629" spans="1:7" x14ac:dyDescent="0.3">
      <c r="A629" s="16">
        <v>2021</v>
      </c>
      <c r="B629" s="17" t="s">
        <v>53</v>
      </c>
      <c r="C629" s="17" t="s">
        <v>47</v>
      </c>
      <c r="D629" t="s">
        <v>46</v>
      </c>
      <c r="E629" s="14" t="s">
        <v>63</v>
      </c>
      <c r="F629" s="14"/>
      <c r="G629" s="18">
        <v>481445</v>
      </c>
    </row>
    <row r="630" spans="1:7" x14ac:dyDescent="0.3">
      <c r="A630" s="13">
        <v>2021</v>
      </c>
      <c r="B630" s="14" t="s">
        <v>53</v>
      </c>
      <c r="C630" s="14" t="s">
        <v>47</v>
      </c>
      <c r="D630" t="s">
        <v>46</v>
      </c>
      <c r="E630" s="17" t="s">
        <v>64</v>
      </c>
      <c r="F630" s="14"/>
      <c r="G630" s="15">
        <v>778497</v>
      </c>
    </row>
    <row r="631" spans="1:7" x14ac:dyDescent="0.3">
      <c r="A631" s="16">
        <v>2021</v>
      </c>
      <c r="B631" s="17" t="s">
        <v>53</v>
      </c>
      <c r="C631" s="17" t="s">
        <v>47</v>
      </c>
      <c r="D631" t="s">
        <v>46</v>
      </c>
      <c r="E631" s="14" t="s">
        <v>75</v>
      </c>
      <c r="F631" s="14"/>
      <c r="G631" s="18">
        <v>3037130</v>
      </c>
    </row>
    <row r="632" spans="1:7" x14ac:dyDescent="0.3">
      <c r="A632" s="13">
        <v>2021</v>
      </c>
      <c r="B632" s="14" t="s">
        <v>54</v>
      </c>
      <c r="C632" s="14" t="s">
        <v>41</v>
      </c>
      <c r="D632" t="s">
        <v>42</v>
      </c>
      <c r="E632" s="14" t="s">
        <v>76</v>
      </c>
      <c r="F632" s="14"/>
      <c r="G632" s="15">
        <v>95969</v>
      </c>
    </row>
    <row r="633" spans="1:7" x14ac:dyDescent="0.3">
      <c r="A633" s="16">
        <v>2021</v>
      </c>
      <c r="B633" s="17" t="s">
        <v>54</v>
      </c>
      <c r="C633" s="17" t="s">
        <v>41</v>
      </c>
      <c r="D633" t="s">
        <v>42</v>
      </c>
      <c r="E633" s="17" t="s">
        <v>76</v>
      </c>
      <c r="F633" s="14"/>
      <c r="G633" s="18">
        <v>28752</v>
      </c>
    </row>
    <row r="634" spans="1:7" x14ac:dyDescent="0.3">
      <c r="A634" s="13">
        <v>2021</v>
      </c>
      <c r="B634" s="14" t="s">
        <v>54</v>
      </c>
      <c r="C634" s="14" t="s">
        <v>41</v>
      </c>
      <c r="D634" t="s">
        <v>42</v>
      </c>
      <c r="E634" s="14" t="s">
        <v>76</v>
      </c>
      <c r="F634" s="14"/>
      <c r="G634" s="15">
        <v>51253</v>
      </c>
    </row>
    <row r="635" spans="1:7" x14ac:dyDescent="0.3">
      <c r="A635" s="16">
        <v>2021</v>
      </c>
      <c r="B635" s="17" t="s">
        <v>54</v>
      </c>
      <c r="C635" s="17" t="s">
        <v>41</v>
      </c>
      <c r="D635" t="s">
        <v>42</v>
      </c>
      <c r="E635" s="17" t="s">
        <v>76</v>
      </c>
      <c r="F635" s="14"/>
      <c r="G635" s="18">
        <v>59614</v>
      </c>
    </row>
    <row r="636" spans="1:7" x14ac:dyDescent="0.3">
      <c r="A636" s="13">
        <v>2021</v>
      </c>
      <c r="B636" s="14" t="s">
        <v>54</v>
      </c>
      <c r="C636" s="14" t="s">
        <v>41</v>
      </c>
      <c r="D636" t="s">
        <v>42</v>
      </c>
      <c r="E636" s="14" t="s">
        <v>76</v>
      </c>
      <c r="F636" s="14"/>
      <c r="G636" s="15">
        <v>66243</v>
      </c>
    </row>
    <row r="637" spans="1:7" x14ac:dyDescent="0.3">
      <c r="A637" s="16">
        <v>2021</v>
      </c>
      <c r="B637" s="17" t="s">
        <v>54</v>
      </c>
      <c r="C637" s="17" t="s">
        <v>41</v>
      </c>
      <c r="D637" t="s">
        <v>42</v>
      </c>
      <c r="E637" s="17" t="s">
        <v>77</v>
      </c>
      <c r="F637" s="14"/>
      <c r="G637" s="18">
        <v>60801</v>
      </c>
    </row>
    <row r="638" spans="1:7" x14ac:dyDescent="0.3">
      <c r="A638" s="13">
        <v>2021</v>
      </c>
      <c r="B638" s="14" t="s">
        <v>54</v>
      </c>
      <c r="C638" s="14" t="s">
        <v>41</v>
      </c>
      <c r="D638" t="s">
        <v>42</v>
      </c>
      <c r="E638" s="14" t="s">
        <v>77</v>
      </c>
      <c r="F638" s="14"/>
      <c r="G638" s="15">
        <v>56598</v>
      </c>
    </row>
    <row r="639" spans="1:7" x14ac:dyDescent="0.3">
      <c r="A639" s="16">
        <v>2021</v>
      </c>
      <c r="B639" s="17" t="s">
        <v>54</v>
      </c>
      <c r="C639" s="17" t="s">
        <v>41</v>
      </c>
      <c r="D639" t="s">
        <v>42</v>
      </c>
      <c r="E639" s="17" t="s">
        <v>77</v>
      </c>
      <c r="F639" s="14"/>
      <c r="G639" s="18">
        <v>59073</v>
      </c>
    </row>
    <row r="640" spans="1:7" x14ac:dyDescent="0.3">
      <c r="A640" s="13">
        <v>2021</v>
      </c>
      <c r="B640" s="14" t="s">
        <v>54</v>
      </c>
      <c r="C640" s="14" t="s">
        <v>41</v>
      </c>
      <c r="D640" t="s">
        <v>42</v>
      </c>
      <c r="E640" s="14" t="s">
        <v>78</v>
      </c>
      <c r="F640" s="14"/>
      <c r="G640" s="15">
        <v>50775</v>
      </c>
    </row>
    <row r="641" spans="1:7" x14ac:dyDescent="0.3">
      <c r="A641" s="16">
        <v>2021</v>
      </c>
      <c r="B641" s="17" t="s">
        <v>54</v>
      </c>
      <c r="C641" s="17" t="s">
        <v>41</v>
      </c>
      <c r="D641" t="s">
        <v>43</v>
      </c>
      <c r="E641" s="14" t="s">
        <v>76</v>
      </c>
      <c r="F641" s="14"/>
      <c r="G641" s="18">
        <v>91631</v>
      </c>
    </row>
    <row r="642" spans="1:7" x14ac:dyDescent="0.3">
      <c r="A642" s="13">
        <v>2021</v>
      </c>
      <c r="B642" s="14" t="s">
        <v>54</v>
      </c>
      <c r="C642" s="14" t="s">
        <v>41</v>
      </c>
      <c r="D642" t="s">
        <v>43</v>
      </c>
      <c r="E642" s="17" t="s">
        <v>76</v>
      </c>
      <c r="F642" s="14"/>
      <c r="G642" s="15">
        <v>42713</v>
      </c>
    </row>
    <row r="643" spans="1:7" x14ac:dyDescent="0.3">
      <c r="A643" s="16">
        <v>2021</v>
      </c>
      <c r="B643" s="17" t="s">
        <v>54</v>
      </c>
      <c r="C643" s="17" t="s">
        <v>41</v>
      </c>
      <c r="D643" t="s">
        <v>43</v>
      </c>
      <c r="E643" s="14" t="s">
        <v>76</v>
      </c>
      <c r="F643" s="14"/>
      <c r="G643" s="18">
        <v>77622</v>
      </c>
    </row>
    <row r="644" spans="1:7" x14ac:dyDescent="0.3">
      <c r="A644" s="13">
        <v>2021</v>
      </c>
      <c r="B644" s="14" t="s">
        <v>54</v>
      </c>
      <c r="C644" s="14" t="s">
        <v>41</v>
      </c>
      <c r="D644" t="s">
        <v>43</v>
      </c>
      <c r="E644" s="17" t="s">
        <v>76</v>
      </c>
      <c r="F644" s="14"/>
      <c r="G644" s="15">
        <v>87550</v>
      </c>
    </row>
    <row r="645" spans="1:7" x14ac:dyDescent="0.3">
      <c r="A645" s="16">
        <v>2021</v>
      </c>
      <c r="B645" s="17" t="s">
        <v>54</v>
      </c>
      <c r="C645" s="17" t="s">
        <v>41</v>
      </c>
      <c r="D645" t="s">
        <v>43</v>
      </c>
      <c r="E645" s="14" t="s">
        <v>76</v>
      </c>
      <c r="F645" s="14"/>
      <c r="G645" s="18">
        <v>89884</v>
      </c>
    </row>
    <row r="646" spans="1:7" x14ac:dyDescent="0.3">
      <c r="A646" s="13">
        <v>2021</v>
      </c>
      <c r="B646" s="14" t="s">
        <v>54</v>
      </c>
      <c r="C646" s="14" t="s">
        <v>41</v>
      </c>
      <c r="D646" t="s">
        <v>43</v>
      </c>
      <c r="E646" s="17" t="s">
        <v>77</v>
      </c>
      <c r="F646" s="14"/>
      <c r="G646" s="15">
        <v>74587</v>
      </c>
    </row>
    <row r="647" spans="1:7" x14ac:dyDescent="0.3">
      <c r="A647" s="16">
        <v>2021</v>
      </c>
      <c r="B647" s="17" t="s">
        <v>54</v>
      </c>
      <c r="C647" s="17" t="s">
        <v>41</v>
      </c>
      <c r="D647" t="s">
        <v>43</v>
      </c>
      <c r="E647" s="14" t="s">
        <v>77</v>
      </c>
      <c r="F647" s="14"/>
      <c r="G647" s="18">
        <v>76069</v>
      </c>
    </row>
    <row r="648" spans="1:7" x14ac:dyDescent="0.3">
      <c r="A648" s="13">
        <v>2021</v>
      </c>
      <c r="B648" s="14" t="s">
        <v>54</v>
      </c>
      <c r="C648" s="14" t="s">
        <v>41</v>
      </c>
      <c r="D648" t="s">
        <v>43</v>
      </c>
      <c r="E648" s="17" t="s">
        <v>77</v>
      </c>
      <c r="F648" s="14"/>
      <c r="G648" s="15">
        <v>73545</v>
      </c>
    </row>
    <row r="649" spans="1:7" x14ac:dyDescent="0.3">
      <c r="A649" s="16">
        <v>2021</v>
      </c>
      <c r="B649" s="17" t="s">
        <v>54</v>
      </c>
      <c r="C649" s="17" t="s">
        <v>41</v>
      </c>
      <c r="D649" t="s">
        <v>43</v>
      </c>
      <c r="E649" s="14" t="s">
        <v>78</v>
      </c>
      <c r="F649" s="14"/>
      <c r="G649" s="18">
        <v>42990</v>
      </c>
    </row>
    <row r="650" spans="1:7" x14ac:dyDescent="0.3">
      <c r="A650" s="13">
        <v>2021</v>
      </c>
      <c r="B650" s="14" t="s">
        <v>54</v>
      </c>
      <c r="C650" s="14" t="s">
        <v>41</v>
      </c>
      <c r="D650" t="s">
        <v>44</v>
      </c>
      <c r="E650" s="14" t="s">
        <v>76</v>
      </c>
      <c r="F650" s="14"/>
      <c r="G650" s="15">
        <v>305211</v>
      </c>
    </row>
    <row r="651" spans="1:7" x14ac:dyDescent="0.3">
      <c r="A651" s="16">
        <v>2021</v>
      </c>
      <c r="B651" s="17" t="s">
        <v>54</v>
      </c>
      <c r="C651" s="17" t="s">
        <v>41</v>
      </c>
      <c r="D651" t="s">
        <v>44</v>
      </c>
      <c r="E651" s="17" t="s">
        <v>76</v>
      </c>
      <c r="F651" s="14"/>
      <c r="G651" s="18">
        <v>114788</v>
      </c>
    </row>
    <row r="652" spans="1:7" x14ac:dyDescent="0.3">
      <c r="A652" s="13">
        <v>2021</v>
      </c>
      <c r="B652" s="14" t="s">
        <v>54</v>
      </c>
      <c r="C652" s="14" t="s">
        <v>41</v>
      </c>
      <c r="D652" t="s">
        <v>44</v>
      </c>
      <c r="E652" s="14" t="s">
        <v>76</v>
      </c>
      <c r="F652" s="14"/>
      <c r="G652" s="15">
        <v>212124</v>
      </c>
    </row>
    <row r="653" spans="1:7" x14ac:dyDescent="0.3">
      <c r="A653" s="16">
        <v>2021</v>
      </c>
      <c r="B653" s="17" t="s">
        <v>54</v>
      </c>
      <c r="C653" s="17" t="s">
        <v>41</v>
      </c>
      <c r="D653" t="s">
        <v>44</v>
      </c>
      <c r="E653" s="17" t="s">
        <v>76</v>
      </c>
      <c r="F653" s="14"/>
      <c r="G653" s="18">
        <v>293796</v>
      </c>
    </row>
    <row r="654" spans="1:7" x14ac:dyDescent="0.3">
      <c r="A654" s="13">
        <v>2021</v>
      </c>
      <c r="B654" s="14" t="s">
        <v>54</v>
      </c>
      <c r="C654" s="14" t="s">
        <v>41</v>
      </c>
      <c r="D654" t="s">
        <v>44</v>
      </c>
      <c r="E654" s="14" t="s">
        <v>76</v>
      </c>
      <c r="F654" s="14"/>
      <c r="G654" s="15">
        <v>313281</v>
      </c>
    </row>
    <row r="655" spans="1:7" x14ac:dyDescent="0.3">
      <c r="A655" s="16">
        <v>2021</v>
      </c>
      <c r="B655" s="17" t="s">
        <v>54</v>
      </c>
      <c r="C655" s="17" t="s">
        <v>41</v>
      </c>
      <c r="D655" t="s">
        <v>44</v>
      </c>
      <c r="E655" s="17" t="s">
        <v>77</v>
      </c>
      <c r="F655" s="14"/>
      <c r="G655" s="18">
        <v>311670</v>
      </c>
    </row>
    <row r="656" spans="1:7" x14ac:dyDescent="0.3">
      <c r="A656" s="13">
        <v>2021</v>
      </c>
      <c r="B656" s="14" t="s">
        <v>54</v>
      </c>
      <c r="C656" s="14" t="s">
        <v>41</v>
      </c>
      <c r="D656" t="s">
        <v>44</v>
      </c>
      <c r="E656" s="14" t="s">
        <v>77</v>
      </c>
      <c r="F656" s="14"/>
      <c r="G656" s="15">
        <v>246650</v>
      </c>
    </row>
    <row r="657" spans="1:7" x14ac:dyDescent="0.3">
      <c r="A657" s="16">
        <v>2021</v>
      </c>
      <c r="B657" s="17" t="s">
        <v>54</v>
      </c>
      <c r="C657" s="17" t="s">
        <v>41</v>
      </c>
      <c r="D657" t="s">
        <v>44</v>
      </c>
      <c r="E657" s="17" t="s">
        <v>77</v>
      </c>
      <c r="F657" s="14"/>
      <c r="G657" s="18">
        <v>268354</v>
      </c>
    </row>
    <row r="658" spans="1:7" x14ac:dyDescent="0.3">
      <c r="A658" s="13">
        <v>2021</v>
      </c>
      <c r="B658" s="14" t="s">
        <v>54</v>
      </c>
      <c r="C658" s="14" t="s">
        <v>41</v>
      </c>
      <c r="D658" t="s">
        <v>44</v>
      </c>
      <c r="E658" s="14" t="s">
        <v>78</v>
      </c>
      <c r="F658" s="14"/>
      <c r="G658" s="15">
        <v>149040</v>
      </c>
    </row>
    <row r="659" spans="1:7" x14ac:dyDescent="0.3">
      <c r="A659" s="16">
        <v>2021</v>
      </c>
      <c r="B659" s="17" t="s">
        <v>54</v>
      </c>
      <c r="C659" s="17" t="s">
        <v>41</v>
      </c>
      <c r="D659" t="s">
        <v>45</v>
      </c>
      <c r="E659" s="14" t="s">
        <v>76</v>
      </c>
      <c r="F659" s="14"/>
      <c r="G659" s="18">
        <v>692929</v>
      </c>
    </row>
    <row r="660" spans="1:7" x14ac:dyDescent="0.3">
      <c r="A660" s="13">
        <v>2021</v>
      </c>
      <c r="B660" s="14" t="s">
        <v>54</v>
      </c>
      <c r="C660" s="14" t="s">
        <v>41</v>
      </c>
      <c r="D660" t="s">
        <v>45</v>
      </c>
      <c r="E660" s="17" t="s">
        <v>76</v>
      </c>
      <c r="F660" s="14"/>
      <c r="G660" s="15">
        <v>279226</v>
      </c>
    </row>
    <row r="661" spans="1:7" x14ac:dyDescent="0.3">
      <c r="A661" s="16">
        <v>2021</v>
      </c>
      <c r="B661" s="17" t="s">
        <v>54</v>
      </c>
      <c r="C661" s="17" t="s">
        <v>41</v>
      </c>
      <c r="D661" t="s">
        <v>45</v>
      </c>
      <c r="E661" s="14" t="s">
        <v>76</v>
      </c>
      <c r="F661" s="14"/>
      <c r="G661" s="18">
        <v>535500</v>
      </c>
    </row>
    <row r="662" spans="1:7" x14ac:dyDescent="0.3">
      <c r="A662" s="13">
        <v>2021</v>
      </c>
      <c r="B662" s="14" t="s">
        <v>54</v>
      </c>
      <c r="C662" s="14" t="s">
        <v>41</v>
      </c>
      <c r="D662" t="s">
        <v>45</v>
      </c>
      <c r="E662" s="17" t="s">
        <v>76</v>
      </c>
      <c r="F662" s="14"/>
      <c r="G662" s="15">
        <v>783484</v>
      </c>
    </row>
    <row r="663" spans="1:7" x14ac:dyDescent="0.3">
      <c r="A663" s="16">
        <v>2021</v>
      </c>
      <c r="B663" s="17" t="s">
        <v>54</v>
      </c>
      <c r="C663" s="17" t="s">
        <v>41</v>
      </c>
      <c r="D663" t="s">
        <v>45</v>
      </c>
      <c r="E663" s="14" t="s">
        <v>76</v>
      </c>
      <c r="F663" s="14"/>
      <c r="G663" s="18">
        <v>938387</v>
      </c>
    </row>
    <row r="664" spans="1:7" x14ac:dyDescent="0.3">
      <c r="A664" s="13">
        <v>2021</v>
      </c>
      <c r="B664" s="14" t="s">
        <v>54</v>
      </c>
      <c r="C664" s="14" t="s">
        <v>41</v>
      </c>
      <c r="D664" t="s">
        <v>45</v>
      </c>
      <c r="E664" s="17" t="s">
        <v>77</v>
      </c>
      <c r="F664" s="14"/>
      <c r="G664" s="15">
        <v>772190</v>
      </c>
    </row>
    <row r="665" spans="1:7" x14ac:dyDescent="0.3">
      <c r="A665" s="16">
        <v>2021</v>
      </c>
      <c r="B665" s="17" t="s">
        <v>54</v>
      </c>
      <c r="C665" s="17" t="s">
        <v>41</v>
      </c>
      <c r="D665" t="s">
        <v>45</v>
      </c>
      <c r="E665" s="14" t="s">
        <v>77</v>
      </c>
      <c r="F665" s="14"/>
      <c r="G665" s="18">
        <v>601963</v>
      </c>
    </row>
    <row r="666" spans="1:7" x14ac:dyDescent="0.3">
      <c r="A666" s="13">
        <v>2021</v>
      </c>
      <c r="B666" s="14" t="s">
        <v>54</v>
      </c>
      <c r="C666" s="14" t="s">
        <v>41</v>
      </c>
      <c r="D666" t="s">
        <v>45</v>
      </c>
      <c r="E666" s="17" t="s">
        <v>77</v>
      </c>
      <c r="F666" s="14"/>
      <c r="G666" s="15">
        <v>663003</v>
      </c>
    </row>
    <row r="667" spans="1:7" x14ac:dyDescent="0.3">
      <c r="A667" s="16">
        <v>2021</v>
      </c>
      <c r="B667" s="17" t="s">
        <v>54</v>
      </c>
      <c r="C667" s="17" t="s">
        <v>41</v>
      </c>
      <c r="D667" t="s">
        <v>45</v>
      </c>
      <c r="E667" s="14" t="s">
        <v>78</v>
      </c>
      <c r="F667" s="14"/>
      <c r="G667" s="18">
        <v>389956</v>
      </c>
    </row>
    <row r="668" spans="1:7" x14ac:dyDescent="0.3">
      <c r="A668" s="13">
        <v>2021</v>
      </c>
      <c r="B668" s="14" t="s">
        <v>54</v>
      </c>
      <c r="C668" s="14" t="s">
        <v>41</v>
      </c>
      <c r="D668" t="s">
        <v>46</v>
      </c>
      <c r="E668" s="14" t="s">
        <v>76</v>
      </c>
      <c r="F668" s="14"/>
      <c r="G668" s="15">
        <v>2501196</v>
      </c>
    </row>
    <row r="669" spans="1:7" x14ac:dyDescent="0.3">
      <c r="A669" s="16">
        <v>2021</v>
      </c>
      <c r="B669" s="17" t="s">
        <v>54</v>
      </c>
      <c r="C669" s="17" t="s">
        <v>41</v>
      </c>
      <c r="D669" t="s">
        <v>46</v>
      </c>
      <c r="E669" s="17" t="s">
        <v>76</v>
      </c>
      <c r="F669" s="14"/>
      <c r="G669" s="18">
        <v>813102</v>
      </c>
    </row>
    <row r="670" spans="1:7" x14ac:dyDescent="0.3">
      <c r="A670" s="13">
        <v>2021</v>
      </c>
      <c r="B670" s="14" t="s">
        <v>54</v>
      </c>
      <c r="C670" s="14" t="s">
        <v>41</v>
      </c>
      <c r="D670" t="s">
        <v>46</v>
      </c>
      <c r="E670" s="14" t="s">
        <v>76</v>
      </c>
      <c r="F670" s="14"/>
      <c r="G670" s="15">
        <v>1676293</v>
      </c>
    </row>
    <row r="671" spans="1:7" x14ac:dyDescent="0.3">
      <c r="A671" s="16">
        <v>2021</v>
      </c>
      <c r="B671" s="17" t="s">
        <v>54</v>
      </c>
      <c r="C671" s="17" t="s">
        <v>41</v>
      </c>
      <c r="D671" t="s">
        <v>46</v>
      </c>
      <c r="E671" s="17" t="s">
        <v>76</v>
      </c>
      <c r="F671" s="14"/>
      <c r="G671" s="18">
        <v>3015256</v>
      </c>
    </row>
    <row r="672" spans="1:7" x14ac:dyDescent="0.3">
      <c r="A672" s="13">
        <v>2021</v>
      </c>
      <c r="B672" s="14" t="s">
        <v>54</v>
      </c>
      <c r="C672" s="14" t="s">
        <v>41</v>
      </c>
      <c r="D672" t="s">
        <v>46</v>
      </c>
      <c r="E672" s="14" t="s">
        <v>76</v>
      </c>
      <c r="F672" s="14"/>
      <c r="G672" s="15">
        <v>4610621</v>
      </c>
    </row>
    <row r="673" spans="1:7" x14ac:dyDescent="0.3">
      <c r="A673" s="16">
        <v>2021</v>
      </c>
      <c r="B673" s="17" t="s">
        <v>54</v>
      </c>
      <c r="C673" s="17" t="s">
        <v>41</v>
      </c>
      <c r="D673" t="s">
        <v>46</v>
      </c>
      <c r="E673" s="17" t="s">
        <v>77</v>
      </c>
      <c r="F673" s="14"/>
      <c r="G673" s="18">
        <v>3970428</v>
      </c>
    </row>
    <row r="674" spans="1:7" x14ac:dyDescent="0.3">
      <c r="A674" s="13">
        <v>2021</v>
      </c>
      <c r="B674" s="14" t="s">
        <v>54</v>
      </c>
      <c r="C674" s="14" t="s">
        <v>41</v>
      </c>
      <c r="D674" t="s">
        <v>46</v>
      </c>
      <c r="E674" s="14" t="s">
        <v>77</v>
      </c>
      <c r="F674" s="14"/>
      <c r="G674" s="15">
        <v>2256691</v>
      </c>
    </row>
    <row r="675" spans="1:7" x14ac:dyDescent="0.3">
      <c r="A675" s="16">
        <v>2021</v>
      </c>
      <c r="B675" s="17" t="s">
        <v>54</v>
      </c>
      <c r="C675" s="17" t="s">
        <v>41</v>
      </c>
      <c r="D675" t="s">
        <v>46</v>
      </c>
      <c r="E675" s="17" t="s">
        <v>77</v>
      </c>
      <c r="F675" s="14"/>
      <c r="G675" s="18">
        <v>3833012</v>
      </c>
    </row>
    <row r="676" spans="1:7" x14ac:dyDescent="0.3">
      <c r="A676" s="13">
        <v>2021</v>
      </c>
      <c r="B676" s="14" t="s">
        <v>54</v>
      </c>
      <c r="C676" s="14" t="s">
        <v>41</v>
      </c>
      <c r="D676" t="s">
        <v>46</v>
      </c>
      <c r="E676" s="14" t="s">
        <v>78</v>
      </c>
      <c r="F676" s="14"/>
      <c r="G676" s="15">
        <v>2398268</v>
      </c>
    </row>
    <row r="677" spans="1:7" x14ac:dyDescent="0.3">
      <c r="A677" s="16">
        <v>2021</v>
      </c>
      <c r="B677" s="17" t="s">
        <v>54</v>
      </c>
      <c r="C677" s="17" t="s">
        <v>47</v>
      </c>
      <c r="D677" t="s">
        <v>42</v>
      </c>
      <c r="E677" s="14" t="s">
        <v>61</v>
      </c>
      <c r="F677" s="14"/>
      <c r="G677" s="18">
        <v>1322380</v>
      </c>
    </row>
    <row r="678" spans="1:7" x14ac:dyDescent="0.3">
      <c r="A678" s="13">
        <v>2021</v>
      </c>
      <c r="B678" s="14" t="s">
        <v>54</v>
      </c>
      <c r="C678" s="14" t="s">
        <v>47</v>
      </c>
      <c r="D678" t="s">
        <v>42</v>
      </c>
      <c r="E678" s="17" t="s">
        <v>61</v>
      </c>
      <c r="F678" s="14"/>
      <c r="G678" s="15">
        <v>529374</v>
      </c>
    </row>
    <row r="679" spans="1:7" x14ac:dyDescent="0.3">
      <c r="A679" s="16">
        <v>2021</v>
      </c>
      <c r="B679" s="17" t="s">
        <v>54</v>
      </c>
      <c r="C679" s="17" t="s">
        <v>47</v>
      </c>
      <c r="D679" t="s">
        <v>42</v>
      </c>
      <c r="E679" s="14" t="s">
        <v>62</v>
      </c>
      <c r="F679" s="14"/>
      <c r="G679" s="18">
        <v>1189024</v>
      </c>
    </row>
    <row r="680" spans="1:7" x14ac:dyDescent="0.3">
      <c r="A680" s="13">
        <v>2021</v>
      </c>
      <c r="B680" s="14" t="s">
        <v>54</v>
      </c>
      <c r="C680" s="14" t="s">
        <v>47</v>
      </c>
      <c r="D680" t="s">
        <v>42</v>
      </c>
      <c r="E680" s="17" t="s">
        <v>62</v>
      </c>
      <c r="F680" s="14"/>
      <c r="G680" s="15">
        <v>1549032</v>
      </c>
    </row>
    <row r="681" spans="1:7" x14ac:dyDescent="0.3">
      <c r="A681" s="16">
        <v>2021</v>
      </c>
      <c r="B681" s="17" t="s">
        <v>54</v>
      </c>
      <c r="C681" s="17" t="s">
        <v>47</v>
      </c>
      <c r="D681" t="s">
        <v>42</v>
      </c>
      <c r="E681" s="14" t="s">
        <v>62</v>
      </c>
      <c r="F681" s="14"/>
      <c r="G681" s="18">
        <v>1639089</v>
      </c>
    </row>
    <row r="682" spans="1:7" x14ac:dyDescent="0.3">
      <c r="A682" s="13">
        <v>2021</v>
      </c>
      <c r="B682" s="14" t="s">
        <v>54</v>
      </c>
      <c r="C682" s="14" t="s">
        <v>47</v>
      </c>
      <c r="D682" t="s">
        <v>42</v>
      </c>
      <c r="E682" s="17" t="s">
        <v>62</v>
      </c>
      <c r="F682" s="14"/>
      <c r="G682" s="15">
        <v>1685094</v>
      </c>
    </row>
    <row r="683" spans="1:7" x14ac:dyDescent="0.3">
      <c r="A683" s="16">
        <v>2021</v>
      </c>
      <c r="B683" s="17" t="s">
        <v>54</v>
      </c>
      <c r="C683" s="17" t="s">
        <v>47</v>
      </c>
      <c r="D683" t="s">
        <v>42</v>
      </c>
      <c r="E683" s="14" t="s">
        <v>63</v>
      </c>
      <c r="F683" s="14"/>
      <c r="G683" s="18">
        <v>1668224</v>
      </c>
    </row>
    <row r="684" spans="1:7" x14ac:dyDescent="0.3">
      <c r="A684" s="13">
        <v>2021</v>
      </c>
      <c r="B684" s="14" t="s">
        <v>54</v>
      </c>
      <c r="C684" s="14" t="s">
        <v>47</v>
      </c>
      <c r="D684" t="s">
        <v>42</v>
      </c>
      <c r="E684" s="17" t="s">
        <v>64</v>
      </c>
      <c r="F684" s="14"/>
      <c r="G684" s="15">
        <v>1471186</v>
      </c>
    </row>
    <row r="685" spans="1:7" x14ac:dyDescent="0.3">
      <c r="A685" s="16">
        <v>2021</v>
      </c>
      <c r="B685" s="17" t="s">
        <v>54</v>
      </c>
      <c r="C685" s="17" t="s">
        <v>47</v>
      </c>
      <c r="D685" t="s">
        <v>42</v>
      </c>
      <c r="E685" s="14" t="s">
        <v>75</v>
      </c>
      <c r="F685" s="14"/>
      <c r="G685" s="18">
        <v>662805</v>
      </c>
    </row>
    <row r="686" spans="1:7" x14ac:dyDescent="0.3">
      <c r="A686" s="13">
        <v>2021</v>
      </c>
      <c r="B686" s="14" t="s">
        <v>54</v>
      </c>
      <c r="C686" s="14" t="s">
        <v>47</v>
      </c>
      <c r="D686" t="s">
        <v>43</v>
      </c>
      <c r="E686" s="14" t="s">
        <v>61</v>
      </c>
      <c r="F686" s="14"/>
      <c r="G686" s="15">
        <v>741332</v>
      </c>
    </row>
    <row r="687" spans="1:7" x14ac:dyDescent="0.3">
      <c r="A687" s="16">
        <v>2021</v>
      </c>
      <c r="B687" s="17" t="s">
        <v>54</v>
      </c>
      <c r="C687" s="17" t="s">
        <v>47</v>
      </c>
      <c r="D687" t="s">
        <v>43</v>
      </c>
      <c r="E687" s="17" t="s">
        <v>61</v>
      </c>
      <c r="F687" s="14"/>
      <c r="G687" s="18">
        <v>360209</v>
      </c>
    </row>
    <row r="688" spans="1:7" x14ac:dyDescent="0.3">
      <c r="A688" s="13">
        <v>2021</v>
      </c>
      <c r="B688" s="14" t="s">
        <v>54</v>
      </c>
      <c r="C688" s="14" t="s">
        <v>47</v>
      </c>
      <c r="D688" t="s">
        <v>43</v>
      </c>
      <c r="E688" s="14" t="s">
        <v>62</v>
      </c>
      <c r="F688" s="14"/>
      <c r="G688" s="15">
        <v>617529</v>
      </c>
    </row>
    <row r="689" spans="1:7" x14ac:dyDescent="0.3">
      <c r="A689" s="16">
        <v>2021</v>
      </c>
      <c r="B689" s="17" t="s">
        <v>54</v>
      </c>
      <c r="C689" s="17" t="s">
        <v>47</v>
      </c>
      <c r="D689" t="s">
        <v>43</v>
      </c>
      <c r="E689" s="17" t="s">
        <v>62</v>
      </c>
      <c r="F689" s="14"/>
      <c r="G689" s="18">
        <v>905543</v>
      </c>
    </row>
    <row r="690" spans="1:7" x14ac:dyDescent="0.3">
      <c r="A690" s="13">
        <v>2021</v>
      </c>
      <c r="B690" s="14" t="s">
        <v>54</v>
      </c>
      <c r="C690" s="14" t="s">
        <v>47</v>
      </c>
      <c r="D690" t="s">
        <v>43</v>
      </c>
      <c r="E690" s="14" t="s">
        <v>62</v>
      </c>
      <c r="F690" s="14"/>
      <c r="G690" s="15">
        <v>1032645</v>
      </c>
    </row>
    <row r="691" spans="1:7" x14ac:dyDescent="0.3">
      <c r="A691" s="16">
        <v>2021</v>
      </c>
      <c r="B691" s="17" t="s">
        <v>54</v>
      </c>
      <c r="C691" s="17" t="s">
        <v>47</v>
      </c>
      <c r="D691" t="s">
        <v>43</v>
      </c>
      <c r="E691" s="17" t="s">
        <v>62</v>
      </c>
      <c r="F691" s="14"/>
      <c r="G691" s="18">
        <v>888305</v>
      </c>
    </row>
    <row r="692" spans="1:7" x14ac:dyDescent="0.3">
      <c r="A692" s="13">
        <v>2021</v>
      </c>
      <c r="B692" s="14" t="s">
        <v>54</v>
      </c>
      <c r="C692" s="14" t="s">
        <v>47</v>
      </c>
      <c r="D692" t="s">
        <v>43</v>
      </c>
      <c r="E692" s="14" t="s">
        <v>63</v>
      </c>
      <c r="F692" s="14"/>
      <c r="G692" s="15">
        <v>728812</v>
      </c>
    </row>
    <row r="693" spans="1:7" x14ac:dyDescent="0.3">
      <c r="A693" s="16">
        <v>2021</v>
      </c>
      <c r="B693" s="17" t="s">
        <v>54</v>
      </c>
      <c r="C693" s="17" t="s">
        <v>47</v>
      </c>
      <c r="D693" t="s">
        <v>43</v>
      </c>
      <c r="E693" s="17" t="s">
        <v>64</v>
      </c>
      <c r="F693" s="14"/>
      <c r="G693" s="18">
        <v>1284332</v>
      </c>
    </row>
    <row r="694" spans="1:7" x14ac:dyDescent="0.3">
      <c r="A694" s="13">
        <v>2021</v>
      </c>
      <c r="B694" s="14" t="s">
        <v>54</v>
      </c>
      <c r="C694" s="14" t="s">
        <v>47</v>
      </c>
      <c r="D694" t="s">
        <v>43</v>
      </c>
      <c r="E694" s="14" t="s">
        <v>75</v>
      </c>
      <c r="F694" s="14"/>
      <c r="G694" s="15">
        <v>1330818</v>
      </c>
    </row>
    <row r="695" spans="1:7" x14ac:dyDescent="0.3">
      <c r="A695" s="16">
        <v>2021</v>
      </c>
      <c r="B695" s="17" t="s">
        <v>54</v>
      </c>
      <c r="C695" s="17" t="s">
        <v>47</v>
      </c>
      <c r="D695" t="s">
        <v>44</v>
      </c>
      <c r="E695" s="14" t="s">
        <v>61</v>
      </c>
      <c r="F695" s="14"/>
      <c r="G695" s="18">
        <v>810257</v>
      </c>
    </row>
    <row r="696" spans="1:7" x14ac:dyDescent="0.3">
      <c r="A696" s="13">
        <v>2021</v>
      </c>
      <c r="B696" s="14" t="s">
        <v>54</v>
      </c>
      <c r="C696" s="14" t="s">
        <v>47</v>
      </c>
      <c r="D696" t="s">
        <v>44</v>
      </c>
      <c r="E696" s="17" t="s">
        <v>61</v>
      </c>
      <c r="F696" s="14"/>
      <c r="G696" s="15">
        <v>433309</v>
      </c>
    </row>
    <row r="697" spans="1:7" x14ac:dyDescent="0.3">
      <c r="A697" s="16">
        <v>2021</v>
      </c>
      <c r="B697" s="17" t="s">
        <v>54</v>
      </c>
      <c r="C697" s="17" t="s">
        <v>47</v>
      </c>
      <c r="D697" t="s">
        <v>44</v>
      </c>
      <c r="E697" s="14" t="s">
        <v>62</v>
      </c>
      <c r="F697" s="14"/>
      <c r="G697" s="18">
        <v>648052</v>
      </c>
    </row>
    <row r="698" spans="1:7" x14ac:dyDescent="0.3">
      <c r="A698" s="13">
        <v>2021</v>
      </c>
      <c r="B698" s="14" t="s">
        <v>54</v>
      </c>
      <c r="C698" s="14" t="s">
        <v>47</v>
      </c>
      <c r="D698" t="s">
        <v>44</v>
      </c>
      <c r="E698" s="17" t="s">
        <v>62</v>
      </c>
      <c r="F698" s="14"/>
      <c r="G698" s="15">
        <v>884428</v>
      </c>
    </row>
    <row r="699" spans="1:7" x14ac:dyDescent="0.3">
      <c r="A699" s="16">
        <v>2021</v>
      </c>
      <c r="B699" s="17" t="s">
        <v>54</v>
      </c>
      <c r="C699" s="17" t="s">
        <v>47</v>
      </c>
      <c r="D699" t="s">
        <v>44</v>
      </c>
      <c r="E699" s="14" t="s">
        <v>62</v>
      </c>
      <c r="F699" s="14"/>
      <c r="G699" s="18">
        <v>1002189</v>
      </c>
    </row>
    <row r="700" spans="1:7" x14ac:dyDescent="0.3">
      <c r="A700" s="13">
        <v>2021</v>
      </c>
      <c r="B700" s="14" t="s">
        <v>54</v>
      </c>
      <c r="C700" s="14" t="s">
        <v>47</v>
      </c>
      <c r="D700" t="s">
        <v>44</v>
      </c>
      <c r="E700" s="17" t="s">
        <v>62</v>
      </c>
      <c r="F700" s="14"/>
      <c r="G700" s="15">
        <v>950776</v>
      </c>
    </row>
    <row r="701" spans="1:7" x14ac:dyDescent="0.3">
      <c r="A701" s="16">
        <v>2021</v>
      </c>
      <c r="B701" s="17" t="s">
        <v>54</v>
      </c>
      <c r="C701" s="17" t="s">
        <v>47</v>
      </c>
      <c r="D701" t="s">
        <v>44</v>
      </c>
      <c r="E701" s="14" t="s">
        <v>63</v>
      </c>
      <c r="F701" s="14"/>
      <c r="G701" s="18">
        <v>823797</v>
      </c>
    </row>
    <row r="702" spans="1:7" x14ac:dyDescent="0.3">
      <c r="A702" s="13">
        <v>2021</v>
      </c>
      <c r="B702" s="14" t="s">
        <v>54</v>
      </c>
      <c r="C702" s="14" t="s">
        <v>47</v>
      </c>
      <c r="D702" t="s">
        <v>44</v>
      </c>
      <c r="E702" s="17" t="s">
        <v>64</v>
      </c>
      <c r="F702" s="14"/>
      <c r="G702" s="15">
        <v>1323417</v>
      </c>
    </row>
    <row r="703" spans="1:7" x14ac:dyDescent="0.3">
      <c r="A703" s="16">
        <v>2021</v>
      </c>
      <c r="B703" s="17" t="s">
        <v>54</v>
      </c>
      <c r="C703" s="17" t="s">
        <v>47</v>
      </c>
      <c r="D703" t="s">
        <v>44</v>
      </c>
      <c r="E703" s="14" t="s">
        <v>75</v>
      </c>
      <c r="F703" s="14"/>
      <c r="G703" s="18">
        <v>1361383</v>
      </c>
    </row>
    <row r="704" spans="1:7" x14ac:dyDescent="0.3">
      <c r="A704" s="13">
        <v>2021</v>
      </c>
      <c r="B704" s="14" t="s">
        <v>54</v>
      </c>
      <c r="C704" s="14" t="s">
        <v>47</v>
      </c>
      <c r="D704" t="s">
        <v>45</v>
      </c>
      <c r="E704" s="14" t="s">
        <v>61</v>
      </c>
      <c r="F704" s="14"/>
      <c r="G704" s="15">
        <v>901645</v>
      </c>
    </row>
    <row r="705" spans="1:7" x14ac:dyDescent="0.3">
      <c r="A705" s="16">
        <v>2021</v>
      </c>
      <c r="B705" s="17" t="s">
        <v>54</v>
      </c>
      <c r="C705" s="17" t="s">
        <v>47</v>
      </c>
      <c r="D705" t="s">
        <v>45</v>
      </c>
      <c r="E705" s="17" t="s">
        <v>61</v>
      </c>
      <c r="F705" s="14"/>
      <c r="G705" s="18">
        <v>437876</v>
      </c>
    </row>
    <row r="706" spans="1:7" x14ac:dyDescent="0.3">
      <c r="A706" s="13">
        <v>2021</v>
      </c>
      <c r="B706" s="14" t="s">
        <v>54</v>
      </c>
      <c r="C706" s="14" t="s">
        <v>47</v>
      </c>
      <c r="D706" t="s">
        <v>45</v>
      </c>
      <c r="E706" s="14" t="s">
        <v>62</v>
      </c>
      <c r="F706" s="14"/>
      <c r="G706" s="15">
        <v>578698</v>
      </c>
    </row>
    <row r="707" spans="1:7" x14ac:dyDescent="0.3">
      <c r="A707" s="16">
        <v>2021</v>
      </c>
      <c r="B707" s="17" t="s">
        <v>54</v>
      </c>
      <c r="C707" s="17" t="s">
        <v>47</v>
      </c>
      <c r="D707" t="s">
        <v>45</v>
      </c>
      <c r="E707" s="17" t="s">
        <v>62</v>
      </c>
      <c r="F707" s="14"/>
      <c r="G707" s="18">
        <v>894015</v>
      </c>
    </row>
    <row r="708" spans="1:7" x14ac:dyDescent="0.3">
      <c r="A708" s="13">
        <v>2021</v>
      </c>
      <c r="B708" s="14" t="s">
        <v>54</v>
      </c>
      <c r="C708" s="14" t="s">
        <v>47</v>
      </c>
      <c r="D708" t="s">
        <v>45</v>
      </c>
      <c r="E708" s="14" t="s">
        <v>62</v>
      </c>
      <c r="F708" s="14"/>
      <c r="G708" s="15">
        <v>889761</v>
      </c>
    </row>
    <row r="709" spans="1:7" x14ac:dyDescent="0.3">
      <c r="A709" s="16">
        <v>2021</v>
      </c>
      <c r="B709" s="17" t="s">
        <v>54</v>
      </c>
      <c r="C709" s="17" t="s">
        <v>47</v>
      </c>
      <c r="D709" t="s">
        <v>45</v>
      </c>
      <c r="E709" s="17" t="s">
        <v>62</v>
      </c>
      <c r="F709" s="14"/>
      <c r="G709" s="18">
        <v>905682</v>
      </c>
    </row>
    <row r="710" spans="1:7" x14ac:dyDescent="0.3">
      <c r="A710" s="13">
        <v>2021</v>
      </c>
      <c r="B710" s="14" t="s">
        <v>54</v>
      </c>
      <c r="C710" s="14" t="s">
        <v>47</v>
      </c>
      <c r="D710" t="s">
        <v>45</v>
      </c>
      <c r="E710" s="14" t="s">
        <v>63</v>
      </c>
      <c r="F710" s="14"/>
      <c r="G710" s="15">
        <v>994393</v>
      </c>
    </row>
    <row r="711" spans="1:7" x14ac:dyDescent="0.3">
      <c r="A711" s="16">
        <v>2021</v>
      </c>
      <c r="B711" s="17" t="s">
        <v>54</v>
      </c>
      <c r="C711" s="17" t="s">
        <v>47</v>
      </c>
      <c r="D711" t="s">
        <v>45</v>
      </c>
      <c r="E711" s="17" t="s">
        <v>64</v>
      </c>
      <c r="F711" s="14"/>
      <c r="G711" s="18">
        <v>1359929</v>
      </c>
    </row>
    <row r="712" spans="1:7" x14ac:dyDescent="0.3">
      <c r="A712" s="13">
        <v>2021</v>
      </c>
      <c r="B712" s="14" t="s">
        <v>54</v>
      </c>
      <c r="C712" s="14" t="s">
        <v>47</v>
      </c>
      <c r="D712" t="s">
        <v>45</v>
      </c>
      <c r="E712" s="14" t="s">
        <v>75</v>
      </c>
      <c r="F712" s="14"/>
      <c r="G712" s="15">
        <v>1113770</v>
      </c>
    </row>
    <row r="713" spans="1:7" x14ac:dyDescent="0.3">
      <c r="A713" s="16">
        <v>2021</v>
      </c>
      <c r="B713" s="17" t="s">
        <v>54</v>
      </c>
      <c r="C713" s="17" t="s">
        <v>47</v>
      </c>
      <c r="D713" t="s">
        <v>46</v>
      </c>
      <c r="E713" s="14" t="s">
        <v>61</v>
      </c>
      <c r="F713" s="14"/>
      <c r="G713" s="18">
        <v>750148</v>
      </c>
    </row>
    <row r="714" spans="1:7" x14ac:dyDescent="0.3">
      <c r="A714" s="13">
        <v>2021</v>
      </c>
      <c r="B714" s="14" t="s">
        <v>54</v>
      </c>
      <c r="C714" s="14" t="s">
        <v>47</v>
      </c>
      <c r="D714" t="s">
        <v>46</v>
      </c>
      <c r="E714" s="17" t="s">
        <v>61</v>
      </c>
      <c r="F714" s="14"/>
      <c r="G714" s="15">
        <v>270508</v>
      </c>
    </row>
    <row r="715" spans="1:7" x14ac:dyDescent="0.3">
      <c r="A715" s="16">
        <v>2021</v>
      </c>
      <c r="B715" s="17" t="s">
        <v>54</v>
      </c>
      <c r="C715" s="17" t="s">
        <v>47</v>
      </c>
      <c r="D715" t="s">
        <v>46</v>
      </c>
      <c r="E715" s="14" t="s">
        <v>62</v>
      </c>
      <c r="F715" s="14"/>
      <c r="G715" s="18">
        <v>401223</v>
      </c>
    </row>
    <row r="716" spans="1:7" x14ac:dyDescent="0.3">
      <c r="A716" s="13">
        <v>2021</v>
      </c>
      <c r="B716" s="14" t="s">
        <v>54</v>
      </c>
      <c r="C716" s="14" t="s">
        <v>47</v>
      </c>
      <c r="D716" t="s">
        <v>46</v>
      </c>
      <c r="E716" s="17" t="s">
        <v>62</v>
      </c>
      <c r="F716" s="14"/>
      <c r="G716" s="15">
        <v>868867</v>
      </c>
    </row>
    <row r="717" spans="1:7" x14ac:dyDescent="0.3">
      <c r="A717" s="16">
        <v>2021</v>
      </c>
      <c r="B717" s="17" t="s">
        <v>54</v>
      </c>
      <c r="C717" s="17" t="s">
        <v>47</v>
      </c>
      <c r="D717" t="s">
        <v>46</v>
      </c>
      <c r="E717" s="14" t="s">
        <v>62</v>
      </c>
      <c r="F717" s="14"/>
      <c r="G717" s="18">
        <v>1314399</v>
      </c>
    </row>
    <row r="718" spans="1:7" x14ac:dyDescent="0.3">
      <c r="A718" s="13">
        <v>2021</v>
      </c>
      <c r="B718" s="14" t="s">
        <v>54</v>
      </c>
      <c r="C718" s="14" t="s">
        <v>47</v>
      </c>
      <c r="D718" t="s">
        <v>46</v>
      </c>
      <c r="E718" s="17" t="s">
        <v>62</v>
      </c>
      <c r="F718" s="14"/>
      <c r="G718" s="15">
        <v>923291</v>
      </c>
    </row>
    <row r="719" spans="1:7" x14ac:dyDescent="0.3">
      <c r="A719" s="16">
        <v>2021</v>
      </c>
      <c r="B719" s="17" t="s">
        <v>54</v>
      </c>
      <c r="C719" s="17" t="s">
        <v>47</v>
      </c>
      <c r="D719" t="s">
        <v>46</v>
      </c>
      <c r="E719" s="14" t="s">
        <v>63</v>
      </c>
      <c r="F719" s="14"/>
      <c r="G719" s="18">
        <v>897702</v>
      </c>
    </row>
    <row r="720" spans="1:7" x14ac:dyDescent="0.3">
      <c r="A720" s="13">
        <v>2021</v>
      </c>
      <c r="B720" s="14" t="s">
        <v>54</v>
      </c>
      <c r="C720" s="14" t="s">
        <v>47</v>
      </c>
      <c r="D720" t="s">
        <v>46</v>
      </c>
      <c r="E720" s="17" t="s">
        <v>64</v>
      </c>
      <c r="F720" s="14"/>
      <c r="G720" s="15">
        <v>1539409</v>
      </c>
    </row>
    <row r="721" spans="1:7" x14ac:dyDescent="0.3">
      <c r="A721" s="16">
        <v>2021</v>
      </c>
      <c r="B721" s="17" t="s">
        <v>54</v>
      </c>
      <c r="C721" s="17" t="s">
        <v>47</v>
      </c>
      <c r="D721" t="s">
        <v>46</v>
      </c>
      <c r="E721" s="14" t="s">
        <v>75</v>
      </c>
      <c r="F721" s="14"/>
      <c r="G721" s="18">
        <v>2818662</v>
      </c>
    </row>
    <row r="722" spans="1:7" x14ac:dyDescent="0.3">
      <c r="A722" s="13">
        <v>2021</v>
      </c>
      <c r="B722" s="14" t="s">
        <v>55</v>
      </c>
      <c r="C722" s="14" t="s">
        <v>41</v>
      </c>
      <c r="D722" t="s">
        <v>42</v>
      </c>
      <c r="E722" s="14" t="s">
        <v>76</v>
      </c>
      <c r="F722" s="14"/>
      <c r="G722" s="15">
        <v>36796</v>
      </c>
    </row>
    <row r="723" spans="1:7" x14ac:dyDescent="0.3">
      <c r="A723" s="16">
        <v>2021</v>
      </c>
      <c r="B723" s="17" t="s">
        <v>55</v>
      </c>
      <c r="C723" s="17" t="s">
        <v>41</v>
      </c>
      <c r="D723" t="s">
        <v>42</v>
      </c>
      <c r="E723" s="17" t="s">
        <v>76</v>
      </c>
      <c r="F723" s="14"/>
      <c r="G723" s="18">
        <v>16680</v>
      </c>
    </row>
    <row r="724" spans="1:7" x14ac:dyDescent="0.3">
      <c r="A724" s="13">
        <v>2021</v>
      </c>
      <c r="B724" s="14" t="s">
        <v>55</v>
      </c>
      <c r="C724" s="14" t="s">
        <v>41</v>
      </c>
      <c r="D724" t="s">
        <v>42</v>
      </c>
      <c r="E724" s="14" t="s">
        <v>76</v>
      </c>
      <c r="F724" s="14"/>
      <c r="G724" s="15">
        <v>26951</v>
      </c>
    </row>
    <row r="725" spans="1:7" x14ac:dyDescent="0.3">
      <c r="A725" s="16">
        <v>2021</v>
      </c>
      <c r="B725" s="17" t="s">
        <v>55</v>
      </c>
      <c r="C725" s="17" t="s">
        <v>41</v>
      </c>
      <c r="D725" t="s">
        <v>42</v>
      </c>
      <c r="E725" s="17" t="s">
        <v>76</v>
      </c>
      <c r="F725" s="14"/>
      <c r="G725" s="18">
        <v>31743</v>
      </c>
    </row>
    <row r="726" spans="1:7" x14ac:dyDescent="0.3">
      <c r="A726" s="13">
        <v>2021</v>
      </c>
      <c r="B726" s="14" t="s">
        <v>55</v>
      </c>
      <c r="C726" s="14" t="s">
        <v>41</v>
      </c>
      <c r="D726" t="s">
        <v>42</v>
      </c>
      <c r="E726" s="14" t="s">
        <v>76</v>
      </c>
      <c r="F726" s="14"/>
      <c r="G726" s="15">
        <v>30023</v>
      </c>
    </row>
    <row r="727" spans="1:7" x14ac:dyDescent="0.3">
      <c r="A727" s="16">
        <v>2021</v>
      </c>
      <c r="B727" s="17" t="s">
        <v>55</v>
      </c>
      <c r="C727" s="17" t="s">
        <v>41</v>
      </c>
      <c r="D727" t="s">
        <v>42</v>
      </c>
      <c r="E727" s="17" t="s">
        <v>77</v>
      </c>
      <c r="F727" s="14"/>
      <c r="G727" s="18">
        <v>25632</v>
      </c>
    </row>
    <row r="728" spans="1:7" x14ac:dyDescent="0.3">
      <c r="A728" s="13">
        <v>2021</v>
      </c>
      <c r="B728" s="14" t="s">
        <v>55</v>
      </c>
      <c r="C728" s="14" t="s">
        <v>41</v>
      </c>
      <c r="D728" t="s">
        <v>42</v>
      </c>
      <c r="E728" s="14" t="s">
        <v>77</v>
      </c>
      <c r="F728" s="14"/>
      <c r="G728" s="15">
        <v>24511</v>
      </c>
    </row>
    <row r="729" spans="1:7" x14ac:dyDescent="0.3">
      <c r="A729" s="16">
        <v>2021</v>
      </c>
      <c r="B729" s="17" t="s">
        <v>55</v>
      </c>
      <c r="C729" s="17" t="s">
        <v>41</v>
      </c>
      <c r="D729" t="s">
        <v>42</v>
      </c>
      <c r="E729" s="17" t="s">
        <v>77</v>
      </c>
      <c r="F729" s="14"/>
      <c r="G729" s="18">
        <v>20515</v>
      </c>
    </row>
    <row r="730" spans="1:7" x14ac:dyDescent="0.3">
      <c r="A730" s="13">
        <v>2021</v>
      </c>
      <c r="B730" s="14" t="s">
        <v>55</v>
      </c>
      <c r="C730" s="14" t="s">
        <v>41</v>
      </c>
      <c r="D730" t="s">
        <v>42</v>
      </c>
      <c r="E730" s="14" t="s">
        <v>78</v>
      </c>
      <c r="F730" s="14"/>
      <c r="G730" s="15">
        <v>24470</v>
      </c>
    </row>
    <row r="731" spans="1:7" x14ac:dyDescent="0.3">
      <c r="A731" s="16">
        <v>2021</v>
      </c>
      <c r="B731" s="17" t="s">
        <v>55</v>
      </c>
      <c r="C731" s="17" t="s">
        <v>41</v>
      </c>
      <c r="D731" t="s">
        <v>43</v>
      </c>
      <c r="E731" s="14" t="s">
        <v>76</v>
      </c>
      <c r="F731" s="14"/>
      <c r="G731" s="18">
        <v>59460</v>
      </c>
    </row>
    <row r="732" spans="1:7" x14ac:dyDescent="0.3">
      <c r="A732" s="13">
        <v>2021</v>
      </c>
      <c r="B732" s="14" t="s">
        <v>55</v>
      </c>
      <c r="C732" s="14" t="s">
        <v>41</v>
      </c>
      <c r="D732" t="s">
        <v>43</v>
      </c>
      <c r="E732" s="17" t="s">
        <v>76</v>
      </c>
      <c r="F732" s="14"/>
      <c r="G732" s="15">
        <v>17760</v>
      </c>
    </row>
    <row r="733" spans="1:7" x14ac:dyDescent="0.3">
      <c r="A733" s="16">
        <v>2021</v>
      </c>
      <c r="B733" s="17" t="s">
        <v>55</v>
      </c>
      <c r="C733" s="17" t="s">
        <v>41</v>
      </c>
      <c r="D733" t="s">
        <v>43</v>
      </c>
      <c r="E733" s="14" t="s">
        <v>76</v>
      </c>
      <c r="F733" s="14"/>
      <c r="G733" s="18">
        <v>34600</v>
      </c>
    </row>
    <row r="734" spans="1:7" x14ac:dyDescent="0.3">
      <c r="A734" s="13">
        <v>2021</v>
      </c>
      <c r="B734" s="14" t="s">
        <v>55</v>
      </c>
      <c r="C734" s="14" t="s">
        <v>41</v>
      </c>
      <c r="D734" t="s">
        <v>43</v>
      </c>
      <c r="E734" s="17" t="s">
        <v>76</v>
      </c>
      <c r="F734" s="14"/>
      <c r="G734" s="15">
        <v>48589</v>
      </c>
    </row>
    <row r="735" spans="1:7" x14ac:dyDescent="0.3">
      <c r="A735" s="16">
        <v>2021</v>
      </c>
      <c r="B735" s="17" t="s">
        <v>55</v>
      </c>
      <c r="C735" s="17" t="s">
        <v>41</v>
      </c>
      <c r="D735" t="s">
        <v>43</v>
      </c>
      <c r="E735" s="14" t="s">
        <v>76</v>
      </c>
      <c r="F735" s="14"/>
      <c r="G735" s="18">
        <v>45718</v>
      </c>
    </row>
    <row r="736" spans="1:7" x14ac:dyDescent="0.3">
      <c r="A736" s="13">
        <v>2021</v>
      </c>
      <c r="B736" s="14" t="s">
        <v>55</v>
      </c>
      <c r="C736" s="14" t="s">
        <v>41</v>
      </c>
      <c r="D736" t="s">
        <v>43</v>
      </c>
      <c r="E736" s="17" t="s">
        <v>77</v>
      </c>
      <c r="F736" s="14"/>
      <c r="G736" s="15">
        <v>38724</v>
      </c>
    </row>
    <row r="737" spans="1:7" x14ac:dyDescent="0.3">
      <c r="A737" s="16">
        <v>2021</v>
      </c>
      <c r="B737" s="17" t="s">
        <v>55</v>
      </c>
      <c r="C737" s="17" t="s">
        <v>41</v>
      </c>
      <c r="D737" t="s">
        <v>43</v>
      </c>
      <c r="E737" s="14" t="s">
        <v>77</v>
      </c>
      <c r="F737" s="14"/>
      <c r="G737" s="18">
        <v>32407</v>
      </c>
    </row>
    <row r="738" spans="1:7" x14ac:dyDescent="0.3">
      <c r="A738" s="13">
        <v>2021</v>
      </c>
      <c r="B738" s="14" t="s">
        <v>55</v>
      </c>
      <c r="C738" s="14" t="s">
        <v>41</v>
      </c>
      <c r="D738" t="s">
        <v>43</v>
      </c>
      <c r="E738" s="17" t="s">
        <v>77</v>
      </c>
      <c r="F738" s="14"/>
      <c r="G738" s="15">
        <v>28273</v>
      </c>
    </row>
    <row r="739" spans="1:7" x14ac:dyDescent="0.3">
      <c r="A739" s="16">
        <v>2021</v>
      </c>
      <c r="B739" s="17" t="s">
        <v>55</v>
      </c>
      <c r="C739" s="17" t="s">
        <v>41</v>
      </c>
      <c r="D739" t="s">
        <v>43</v>
      </c>
      <c r="E739" s="14" t="s">
        <v>78</v>
      </c>
      <c r="F739" s="14"/>
      <c r="G739" s="18">
        <v>19962</v>
      </c>
    </row>
    <row r="740" spans="1:7" x14ac:dyDescent="0.3">
      <c r="A740" s="13">
        <v>2021</v>
      </c>
      <c r="B740" s="14" t="s">
        <v>55</v>
      </c>
      <c r="C740" s="14" t="s">
        <v>41</v>
      </c>
      <c r="D740" t="s">
        <v>44</v>
      </c>
      <c r="E740" s="14" t="s">
        <v>76</v>
      </c>
      <c r="F740" s="14"/>
      <c r="G740" s="15">
        <v>164453</v>
      </c>
    </row>
    <row r="741" spans="1:7" x14ac:dyDescent="0.3">
      <c r="A741" s="16">
        <v>2021</v>
      </c>
      <c r="B741" s="17" t="s">
        <v>55</v>
      </c>
      <c r="C741" s="17" t="s">
        <v>41</v>
      </c>
      <c r="D741" t="s">
        <v>44</v>
      </c>
      <c r="E741" s="17" t="s">
        <v>76</v>
      </c>
      <c r="F741" s="14"/>
      <c r="G741" s="18">
        <v>57063</v>
      </c>
    </row>
    <row r="742" spans="1:7" x14ac:dyDescent="0.3">
      <c r="A742" s="13">
        <v>2021</v>
      </c>
      <c r="B742" s="14" t="s">
        <v>55</v>
      </c>
      <c r="C742" s="14" t="s">
        <v>41</v>
      </c>
      <c r="D742" t="s">
        <v>44</v>
      </c>
      <c r="E742" s="14" t="s">
        <v>76</v>
      </c>
      <c r="F742" s="14"/>
      <c r="G742" s="15">
        <v>107747</v>
      </c>
    </row>
    <row r="743" spans="1:7" x14ac:dyDescent="0.3">
      <c r="A743" s="16">
        <v>2021</v>
      </c>
      <c r="B743" s="17" t="s">
        <v>55</v>
      </c>
      <c r="C743" s="17" t="s">
        <v>41</v>
      </c>
      <c r="D743" t="s">
        <v>44</v>
      </c>
      <c r="E743" s="17" t="s">
        <v>76</v>
      </c>
      <c r="F743" s="14"/>
      <c r="G743" s="18">
        <v>127346</v>
      </c>
    </row>
    <row r="744" spans="1:7" x14ac:dyDescent="0.3">
      <c r="A744" s="13">
        <v>2021</v>
      </c>
      <c r="B744" s="14" t="s">
        <v>55</v>
      </c>
      <c r="C744" s="14" t="s">
        <v>41</v>
      </c>
      <c r="D744" t="s">
        <v>44</v>
      </c>
      <c r="E744" s="14" t="s">
        <v>76</v>
      </c>
      <c r="F744" s="14"/>
      <c r="G744" s="15">
        <v>134468</v>
      </c>
    </row>
    <row r="745" spans="1:7" x14ac:dyDescent="0.3">
      <c r="A745" s="16">
        <v>2021</v>
      </c>
      <c r="B745" s="17" t="s">
        <v>55</v>
      </c>
      <c r="C745" s="17" t="s">
        <v>41</v>
      </c>
      <c r="D745" t="s">
        <v>44</v>
      </c>
      <c r="E745" s="17" t="s">
        <v>77</v>
      </c>
      <c r="F745" s="14"/>
      <c r="G745" s="18">
        <v>131510</v>
      </c>
    </row>
    <row r="746" spans="1:7" x14ac:dyDescent="0.3">
      <c r="A746" s="13">
        <v>2021</v>
      </c>
      <c r="B746" s="14" t="s">
        <v>55</v>
      </c>
      <c r="C746" s="14" t="s">
        <v>41</v>
      </c>
      <c r="D746" t="s">
        <v>44</v>
      </c>
      <c r="E746" s="14" t="s">
        <v>77</v>
      </c>
      <c r="F746" s="14"/>
      <c r="G746" s="15">
        <v>113252</v>
      </c>
    </row>
    <row r="747" spans="1:7" x14ac:dyDescent="0.3">
      <c r="A747" s="16">
        <v>2021</v>
      </c>
      <c r="B747" s="17" t="s">
        <v>55</v>
      </c>
      <c r="C747" s="17" t="s">
        <v>41</v>
      </c>
      <c r="D747" t="s">
        <v>44</v>
      </c>
      <c r="E747" s="17" t="s">
        <v>77</v>
      </c>
      <c r="F747" s="14"/>
      <c r="G747" s="18">
        <v>119944</v>
      </c>
    </row>
    <row r="748" spans="1:7" x14ac:dyDescent="0.3">
      <c r="A748" s="13">
        <v>2021</v>
      </c>
      <c r="B748" s="14" t="s">
        <v>55</v>
      </c>
      <c r="C748" s="14" t="s">
        <v>41</v>
      </c>
      <c r="D748" t="s">
        <v>44</v>
      </c>
      <c r="E748" s="14" t="s">
        <v>78</v>
      </c>
      <c r="F748" s="14"/>
      <c r="G748" s="15">
        <v>59813</v>
      </c>
    </row>
    <row r="749" spans="1:7" x14ac:dyDescent="0.3">
      <c r="A749" s="16">
        <v>2021</v>
      </c>
      <c r="B749" s="17" t="s">
        <v>55</v>
      </c>
      <c r="C749" s="17" t="s">
        <v>41</v>
      </c>
      <c r="D749" t="s">
        <v>45</v>
      </c>
      <c r="E749" s="14" t="s">
        <v>76</v>
      </c>
      <c r="F749" s="14"/>
      <c r="G749" s="18">
        <v>393876</v>
      </c>
    </row>
    <row r="750" spans="1:7" x14ac:dyDescent="0.3">
      <c r="A750" s="13">
        <v>2021</v>
      </c>
      <c r="B750" s="14" t="s">
        <v>55</v>
      </c>
      <c r="C750" s="14" t="s">
        <v>41</v>
      </c>
      <c r="D750" t="s">
        <v>45</v>
      </c>
      <c r="E750" s="17" t="s">
        <v>76</v>
      </c>
      <c r="F750" s="14"/>
      <c r="G750" s="15">
        <v>133690</v>
      </c>
    </row>
    <row r="751" spans="1:7" x14ac:dyDescent="0.3">
      <c r="A751" s="16">
        <v>2021</v>
      </c>
      <c r="B751" s="17" t="s">
        <v>55</v>
      </c>
      <c r="C751" s="17" t="s">
        <v>41</v>
      </c>
      <c r="D751" t="s">
        <v>45</v>
      </c>
      <c r="E751" s="14" t="s">
        <v>76</v>
      </c>
      <c r="F751" s="14"/>
      <c r="G751" s="18">
        <v>261214</v>
      </c>
    </row>
    <row r="752" spans="1:7" x14ac:dyDescent="0.3">
      <c r="A752" s="13">
        <v>2021</v>
      </c>
      <c r="B752" s="14" t="s">
        <v>55</v>
      </c>
      <c r="C752" s="14" t="s">
        <v>41</v>
      </c>
      <c r="D752" t="s">
        <v>45</v>
      </c>
      <c r="E752" s="17" t="s">
        <v>76</v>
      </c>
      <c r="F752" s="14"/>
      <c r="G752" s="15">
        <v>314845</v>
      </c>
    </row>
    <row r="753" spans="1:7" x14ac:dyDescent="0.3">
      <c r="A753" s="16">
        <v>2021</v>
      </c>
      <c r="B753" s="17" t="s">
        <v>55</v>
      </c>
      <c r="C753" s="17" t="s">
        <v>41</v>
      </c>
      <c r="D753" t="s">
        <v>45</v>
      </c>
      <c r="E753" s="14" t="s">
        <v>76</v>
      </c>
      <c r="F753" s="14"/>
      <c r="G753" s="18">
        <v>329607</v>
      </c>
    </row>
    <row r="754" spans="1:7" x14ac:dyDescent="0.3">
      <c r="A754" s="13">
        <v>2021</v>
      </c>
      <c r="B754" s="14" t="s">
        <v>55</v>
      </c>
      <c r="C754" s="14" t="s">
        <v>41</v>
      </c>
      <c r="D754" t="s">
        <v>45</v>
      </c>
      <c r="E754" s="17" t="s">
        <v>77</v>
      </c>
      <c r="F754" s="14"/>
      <c r="G754" s="15">
        <v>318832</v>
      </c>
    </row>
    <row r="755" spans="1:7" x14ac:dyDescent="0.3">
      <c r="A755" s="16">
        <v>2021</v>
      </c>
      <c r="B755" s="17" t="s">
        <v>55</v>
      </c>
      <c r="C755" s="17" t="s">
        <v>41</v>
      </c>
      <c r="D755" t="s">
        <v>45</v>
      </c>
      <c r="E755" s="14" t="s">
        <v>77</v>
      </c>
      <c r="F755" s="14"/>
      <c r="G755" s="18">
        <v>225987</v>
      </c>
    </row>
    <row r="756" spans="1:7" x14ac:dyDescent="0.3">
      <c r="A756" s="13">
        <v>2021</v>
      </c>
      <c r="B756" s="14" t="s">
        <v>55</v>
      </c>
      <c r="C756" s="14" t="s">
        <v>41</v>
      </c>
      <c r="D756" t="s">
        <v>45</v>
      </c>
      <c r="E756" s="17" t="s">
        <v>77</v>
      </c>
      <c r="F756" s="14"/>
      <c r="G756" s="15">
        <v>312799</v>
      </c>
    </row>
    <row r="757" spans="1:7" x14ac:dyDescent="0.3">
      <c r="A757" s="16">
        <v>2021</v>
      </c>
      <c r="B757" s="17" t="s">
        <v>55</v>
      </c>
      <c r="C757" s="17" t="s">
        <v>41</v>
      </c>
      <c r="D757" t="s">
        <v>45</v>
      </c>
      <c r="E757" s="14" t="s">
        <v>78</v>
      </c>
      <c r="F757" s="14"/>
      <c r="G757" s="18">
        <v>159176</v>
      </c>
    </row>
    <row r="758" spans="1:7" x14ac:dyDescent="0.3">
      <c r="A758" s="13">
        <v>2021</v>
      </c>
      <c r="B758" s="14" t="s">
        <v>55</v>
      </c>
      <c r="C758" s="14" t="s">
        <v>41</v>
      </c>
      <c r="D758" t="s">
        <v>46</v>
      </c>
      <c r="E758" s="14" t="s">
        <v>76</v>
      </c>
      <c r="F758" s="14"/>
      <c r="G758" s="15">
        <v>977336</v>
      </c>
    </row>
    <row r="759" spans="1:7" x14ac:dyDescent="0.3">
      <c r="A759" s="16">
        <v>2021</v>
      </c>
      <c r="B759" s="17" t="s">
        <v>55</v>
      </c>
      <c r="C759" s="17" t="s">
        <v>41</v>
      </c>
      <c r="D759" t="s">
        <v>46</v>
      </c>
      <c r="E759" s="17" t="s">
        <v>76</v>
      </c>
      <c r="F759" s="14"/>
      <c r="G759" s="18">
        <v>395624</v>
      </c>
    </row>
    <row r="760" spans="1:7" x14ac:dyDescent="0.3">
      <c r="A760" s="13">
        <v>2021</v>
      </c>
      <c r="B760" s="14" t="s">
        <v>55</v>
      </c>
      <c r="C760" s="14" t="s">
        <v>41</v>
      </c>
      <c r="D760" t="s">
        <v>46</v>
      </c>
      <c r="E760" s="14" t="s">
        <v>76</v>
      </c>
      <c r="F760" s="14"/>
      <c r="G760" s="15">
        <v>726126</v>
      </c>
    </row>
    <row r="761" spans="1:7" x14ac:dyDescent="0.3">
      <c r="A761" s="16">
        <v>2021</v>
      </c>
      <c r="B761" s="17" t="s">
        <v>55</v>
      </c>
      <c r="C761" s="17" t="s">
        <v>41</v>
      </c>
      <c r="D761" t="s">
        <v>46</v>
      </c>
      <c r="E761" s="17" t="s">
        <v>76</v>
      </c>
      <c r="F761" s="14"/>
      <c r="G761" s="18">
        <v>1345259</v>
      </c>
    </row>
    <row r="762" spans="1:7" x14ac:dyDescent="0.3">
      <c r="A762" s="13">
        <v>2021</v>
      </c>
      <c r="B762" s="14" t="s">
        <v>55</v>
      </c>
      <c r="C762" s="14" t="s">
        <v>41</v>
      </c>
      <c r="D762" t="s">
        <v>46</v>
      </c>
      <c r="E762" s="14" t="s">
        <v>76</v>
      </c>
      <c r="F762" s="14"/>
      <c r="G762" s="15">
        <v>2296494</v>
      </c>
    </row>
    <row r="763" spans="1:7" x14ac:dyDescent="0.3">
      <c r="A763" s="16">
        <v>2021</v>
      </c>
      <c r="B763" s="17" t="s">
        <v>55</v>
      </c>
      <c r="C763" s="17" t="s">
        <v>41</v>
      </c>
      <c r="D763" t="s">
        <v>46</v>
      </c>
      <c r="E763" s="17" t="s">
        <v>77</v>
      </c>
      <c r="F763" s="14"/>
      <c r="G763" s="18">
        <v>1669902</v>
      </c>
    </row>
    <row r="764" spans="1:7" x14ac:dyDescent="0.3">
      <c r="A764" s="13">
        <v>2021</v>
      </c>
      <c r="B764" s="14" t="s">
        <v>55</v>
      </c>
      <c r="C764" s="14" t="s">
        <v>41</v>
      </c>
      <c r="D764" t="s">
        <v>46</v>
      </c>
      <c r="E764" s="14" t="s">
        <v>77</v>
      </c>
      <c r="F764" s="14"/>
      <c r="G764" s="15">
        <v>875459</v>
      </c>
    </row>
    <row r="765" spans="1:7" x14ac:dyDescent="0.3">
      <c r="A765" s="16">
        <v>2021</v>
      </c>
      <c r="B765" s="17" t="s">
        <v>55</v>
      </c>
      <c r="C765" s="17" t="s">
        <v>41</v>
      </c>
      <c r="D765" t="s">
        <v>46</v>
      </c>
      <c r="E765" s="17" t="s">
        <v>77</v>
      </c>
      <c r="F765" s="14"/>
      <c r="G765" s="18">
        <v>1368517</v>
      </c>
    </row>
    <row r="766" spans="1:7" x14ac:dyDescent="0.3">
      <c r="A766" s="13">
        <v>2021</v>
      </c>
      <c r="B766" s="14" t="s">
        <v>55</v>
      </c>
      <c r="C766" s="14" t="s">
        <v>41</v>
      </c>
      <c r="D766" t="s">
        <v>46</v>
      </c>
      <c r="E766" s="14" t="s">
        <v>78</v>
      </c>
      <c r="F766" s="14"/>
      <c r="G766" s="15">
        <v>1009798</v>
      </c>
    </row>
    <row r="767" spans="1:7" x14ac:dyDescent="0.3">
      <c r="A767" s="16">
        <v>2021</v>
      </c>
      <c r="B767" s="17" t="s">
        <v>55</v>
      </c>
      <c r="C767" s="17" t="s">
        <v>47</v>
      </c>
      <c r="D767" t="s">
        <v>42</v>
      </c>
      <c r="E767" s="14" t="s">
        <v>61</v>
      </c>
      <c r="F767" s="14"/>
      <c r="G767" s="18">
        <v>970774</v>
      </c>
    </row>
    <row r="768" spans="1:7" x14ac:dyDescent="0.3">
      <c r="A768" s="13">
        <v>2021</v>
      </c>
      <c r="B768" s="14" t="s">
        <v>55</v>
      </c>
      <c r="C768" s="14" t="s">
        <v>47</v>
      </c>
      <c r="D768" t="s">
        <v>42</v>
      </c>
      <c r="E768" s="17" t="s">
        <v>61</v>
      </c>
      <c r="F768" s="14"/>
      <c r="G768" s="15">
        <v>348225</v>
      </c>
    </row>
    <row r="769" spans="1:7" x14ac:dyDescent="0.3">
      <c r="A769" s="16">
        <v>2021</v>
      </c>
      <c r="B769" s="17" t="s">
        <v>55</v>
      </c>
      <c r="C769" s="17" t="s">
        <v>47</v>
      </c>
      <c r="D769" t="s">
        <v>42</v>
      </c>
      <c r="E769" s="14" t="s">
        <v>62</v>
      </c>
      <c r="F769" s="14"/>
      <c r="G769" s="18">
        <v>776138</v>
      </c>
    </row>
    <row r="770" spans="1:7" x14ac:dyDescent="0.3">
      <c r="A770" s="13">
        <v>2021</v>
      </c>
      <c r="B770" s="14" t="s">
        <v>55</v>
      </c>
      <c r="C770" s="14" t="s">
        <v>47</v>
      </c>
      <c r="D770" t="s">
        <v>42</v>
      </c>
      <c r="E770" s="17" t="s">
        <v>62</v>
      </c>
      <c r="F770" s="14"/>
      <c r="G770" s="15">
        <v>980908</v>
      </c>
    </row>
    <row r="771" spans="1:7" x14ac:dyDescent="0.3">
      <c r="A771" s="16">
        <v>2021</v>
      </c>
      <c r="B771" s="17" t="s">
        <v>55</v>
      </c>
      <c r="C771" s="17" t="s">
        <v>47</v>
      </c>
      <c r="D771" t="s">
        <v>42</v>
      </c>
      <c r="E771" s="14" t="s">
        <v>62</v>
      </c>
      <c r="F771" s="14"/>
      <c r="G771" s="18">
        <v>995797</v>
      </c>
    </row>
    <row r="772" spans="1:7" x14ac:dyDescent="0.3">
      <c r="A772" s="13">
        <v>2021</v>
      </c>
      <c r="B772" s="14" t="s">
        <v>55</v>
      </c>
      <c r="C772" s="14" t="s">
        <v>47</v>
      </c>
      <c r="D772" t="s">
        <v>42</v>
      </c>
      <c r="E772" s="17" t="s">
        <v>62</v>
      </c>
      <c r="F772" s="14"/>
      <c r="G772" s="15">
        <v>1055709</v>
      </c>
    </row>
    <row r="773" spans="1:7" x14ac:dyDescent="0.3">
      <c r="A773" s="16">
        <v>2021</v>
      </c>
      <c r="B773" s="17" t="s">
        <v>55</v>
      </c>
      <c r="C773" s="17" t="s">
        <v>47</v>
      </c>
      <c r="D773" t="s">
        <v>42</v>
      </c>
      <c r="E773" s="14" t="s">
        <v>63</v>
      </c>
      <c r="F773" s="14"/>
      <c r="G773" s="18">
        <v>1088268</v>
      </c>
    </row>
    <row r="774" spans="1:7" x14ac:dyDescent="0.3">
      <c r="A774" s="13">
        <v>2021</v>
      </c>
      <c r="B774" s="14" t="s">
        <v>55</v>
      </c>
      <c r="C774" s="14" t="s">
        <v>47</v>
      </c>
      <c r="D774" t="s">
        <v>42</v>
      </c>
      <c r="E774" s="17" t="s">
        <v>64</v>
      </c>
      <c r="F774" s="14"/>
      <c r="G774" s="15">
        <v>958538</v>
      </c>
    </row>
    <row r="775" spans="1:7" x14ac:dyDescent="0.3">
      <c r="A775" s="16">
        <v>2021</v>
      </c>
      <c r="B775" s="17" t="s">
        <v>55</v>
      </c>
      <c r="C775" s="17" t="s">
        <v>47</v>
      </c>
      <c r="D775" t="s">
        <v>42</v>
      </c>
      <c r="E775" s="14" t="s">
        <v>75</v>
      </c>
      <c r="F775" s="14"/>
      <c r="G775" s="18">
        <v>500863</v>
      </c>
    </row>
    <row r="776" spans="1:7" x14ac:dyDescent="0.3">
      <c r="A776" s="13">
        <v>2021</v>
      </c>
      <c r="B776" s="14" t="s">
        <v>55</v>
      </c>
      <c r="C776" s="14" t="s">
        <v>47</v>
      </c>
      <c r="D776" t="s">
        <v>43</v>
      </c>
      <c r="E776" s="14" t="s">
        <v>61</v>
      </c>
      <c r="F776" s="14"/>
      <c r="G776" s="15">
        <v>475887</v>
      </c>
    </row>
    <row r="777" spans="1:7" x14ac:dyDescent="0.3">
      <c r="A777" s="16">
        <v>2021</v>
      </c>
      <c r="B777" s="17" t="s">
        <v>55</v>
      </c>
      <c r="C777" s="17" t="s">
        <v>47</v>
      </c>
      <c r="D777" t="s">
        <v>43</v>
      </c>
      <c r="E777" s="17" t="s">
        <v>61</v>
      </c>
      <c r="F777" s="14"/>
      <c r="G777" s="18">
        <v>207996</v>
      </c>
    </row>
    <row r="778" spans="1:7" x14ac:dyDescent="0.3">
      <c r="A778" s="13">
        <v>2021</v>
      </c>
      <c r="B778" s="14" t="s">
        <v>55</v>
      </c>
      <c r="C778" s="14" t="s">
        <v>47</v>
      </c>
      <c r="D778" t="s">
        <v>43</v>
      </c>
      <c r="E778" s="14" t="s">
        <v>62</v>
      </c>
      <c r="F778" s="14"/>
      <c r="G778" s="15">
        <v>316933</v>
      </c>
    </row>
    <row r="779" spans="1:7" x14ac:dyDescent="0.3">
      <c r="A779" s="16">
        <v>2021</v>
      </c>
      <c r="B779" s="17" t="s">
        <v>55</v>
      </c>
      <c r="C779" s="17" t="s">
        <v>47</v>
      </c>
      <c r="D779" t="s">
        <v>43</v>
      </c>
      <c r="E779" s="17" t="s">
        <v>62</v>
      </c>
      <c r="F779" s="14"/>
      <c r="G779" s="18">
        <v>401424</v>
      </c>
    </row>
    <row r="780" spans="1:7" x14ac:dyDescent="0.3">
      <c r="A780" s="13">
        <v>2021</v>
      </c>
      <c r="B780" s="14" t="s">
        <v>55</v>
      </c>
      <c r="C780" s="14" t="s">
        <v>47</v>
      </c>
      <c r="D780" t="s">
        <v>43</v>
      </c>
      <c r="E780" s="14" t="s">
        <v>62</v>
      </c>
      <c r="F780" s="14"/>
      <c r="G780" s="15">
        <v>438225</v>
      </c>
    </row>
    <row r="781" spans="1:7" x14ac:dyDescent="0.3">
      <c r="A781" s="16">
        <v>2021</v>
      </c>
      <c r="B781" s="17" t="s">
        <v>55</v>
      </c>
      <c r="C781" s="17" t="s">
        <v>47</v>
      </c>
      <c r="D781" t="s">
        <v>43</v>
      </c>
      <c r="E781" s="17" t="s">
        <v>62</v>
      </c>
      <c r="F781" s="14"/>
      <c r="G781" s="18">
        <v>382795</v>
      </c>
    </row>
    <row r="782" spans="1:7" x14ac:dyDescent="0.3">
      <c r="A782" s="13">
        <v>2021</v>
      </c>
      <c r="B782" s="14" t="s">
        <v>55</v>
      </c>
      <c r="C782" s="14" t="s">
        <v>47</v>
      </c>
      <c r="D782" t="s">
        <v>43</v>
      </c>
      <c r="E782" s="14" t="s">
        <v>63</v>
      </c>
      <c r="F782" s="14"/>
      <c r="G782" s="15">
        <v>342409</v>
      </c>
    </row>
    <row r="783" spans="1:7" x14ac:dyDescent="0.3">
      <c r="A783" s="16">
        <v>2021</v>
      </c>
      <c r="B783" s="17" t="s">
        <v>55</v>
      </c>
      <c r="C783" s="17" t="s">
        <v>47</v>
      </c>
      <c r="D783" t="s">
        <v>43</v>
      </c>
      <c r="E783" s="17" t="s">
        <v>64</v>
      </c>
      <c r="F783" s="14"/>
      <c r="G783" s="18">
        <v>583574</v>
      </c>
    </row>
    <row r="784" spans="1:7" x14ac:dyDescent="0.3">
      <c r="A784" s="13">
        <v>2021</v>
      </c>
      <c r="B784" s="14" t="s">
        <v>55</v>
      </c>
      <c r="C784" s="14" t="s">
        <v>47</v>
      </c>
      <c r="D784" t="s">
        <v>43</v>
      </c>
      <c r="E784" s="14" t="s">
        <v>75</v>
      </c>
      <c r="F784" s="14"/>
      <c r="G784" s="15">
        <v>660398</v>
      </c>
    </row>
    <row r="785" spans="1:7" x14ac:dyDescent="0.3">
      <c r="A785" s="16">
        <v>2021</v>
      </c>
      <c r="B785" s="17" t="s">
        <v>55</v>
      </c>
      <c r="C785" s="17" t="s">
        <v>47</v>
      </c>
      <c r="D785" t="s">
        <v>44</v>
      </c>
      <c r="E785" s="14" t="s">
        <v>61</v>
      </c>
      <c r="F785" s="14"/>
      <c r="G785" s="18">
        <v>473295</v>
      </c>
    </row>
    <row r="786" spans="1:7" x14ac:dyDescent="0.3">
      <c r="A786" s="13">
        <v>2021</v>
      </c>
      <c r="B786" s="14" t="s">
        <v>55</v>
      </c>
      <c r="C786" s="14" t="s">
        <v>47</v>
      </c>
      <c r="D786" t="s">
        <v>44</v>
      </c>
      <c r="E786" s="17" t="s">
        <v>61</v>
      </c>
      <c r="F786" s="14"/>
      <c r="G786" s="15">
        <v>230103</v>
      </c>
    </row>
    <row r="787" spans="1:7" x14ac:dyDescent="0.3">
      <c r="A787" s="16">
        <v>2021</v>
      </c>
      <c r="B787" s="17" t="s">
        <v>55</v>
      </c>
      <c r="C787" s="17" t="s">
        <v>47</v>
      </c>
      <c r="D787" t="s">
        <v>44</v>
      </c>
      <c r="E787" s="14" t="s">
        <v>62</v>
      </c>
      <c r="F787" s="14"/>
      <c r="G787" s="18">
        <v>252415</v>
      </c>
    </row>
    <row r="788" spans="1:7" x14ac:dyDescent="0.3">
      <c r="A788" s="13">
        <v>2021</v>
      </c>
      <c r="B788" s="14" t="s">
        <v>55</v>
      </c>
      <c r="C788" s="14" t="s">
        <v>47</v>
      </c>
      <c r="D788" t="s">
        <v>44</v>
      </c>
      <c r="E788" s="17" t="s">
        <v>62</v>
      </c>
      <c r="F788" s="14"/>
      <c r="G788" s="15">
        <v>336840</v>
      </c>
    </row>
    <row r="789" spans="1:7" x14ac:dyDescent="0.3">
      <c r="A789" s="16">
        <v>2021</v>
      </c>
      <c r="B789" s="17" t="s">
        <v>55</v>
      </c>
      <c r="C789" s="17" t="s">
        <v>47</v>
      </c>
      <c r="D789" t="s">
        <v>44</v>
      </c>
      <c r="E789" s="14" t="s">
        <v>62</v>
      </c>
      <c r="F789" s="14"/>
      <c r="G789" s="18">
        <v>406672</v>
      </c>
    </row>
    <row r="790" spans="1:7" x14ac:dyDescent="0.3">
      <c r="A790" s="13">
        <v>2021</v>
      </c>
      <c r="B790" s="14" t="s">
        <v>55</v>
      </c>
      <c r="C790" s="14" t="s">
        <v>47</v>
      </c>
      <c r="D790" t="s">
        <v>44</v>
      </c>
      <c r="E790" s="17" t="s">
        <v>62</v>
      </c>
      <c r="F790" s="14"/>
      <c r="G790" s="15">
        <v>411075</v>
      </c>
    </row>
    <row r="791" spans="1:7" x14ac:dyDescent="0.3">
      <c r="A791" s="16">
        <v>2021</v>
      </c>
      <c r="B791" s="17" t="s">
        <v>55</v>
      </c>
      <c r="C791" s="17" t="s">
        <v>47</v>
      </c>
      <c r="D791" t="s">
        <v>44</v>
      </c>
      <c r="E791" s="14" t="s">
        <v>63</v>
      </c>
      <c r="F791" s="14"/>
      <c r="G791" s="18">
        <v>429581</v>
      </c>
    </row>
    <row r="792" spans="1:7" x14ac:dyDescent="0.3">
      <c r="A792" s="13">
        <v>2021</v>
      </c>
      <c r="B792" s="14" t="s">
        <v>55</v>
      </c>
      <c r="C792" s="14" t="s">
        <v>47</v>
      </c>
      <c r="D792" t="s">
        <v>44</v>
      </c>
      <c r="E792" s="17" t="s">
        <v>64</v>
      </c>
      <c r="F792" s="14"/>
      <c r="G792" s="15">
        <v>516868</v>
      </c>
    </row>
    <row r="793" spans="1:7" x14ac:dyDescent="0.3">
      <c r="A793" s="16">
        <v>2021</v>
      </c>
      <c r="B793" s="17" t="s">
        <v>55</v>
      </c>
      <c r="C793" s="17" t="s">
        <v>47</v>
      </c>
      <c r="D793" t="s">
        <v>44</v>
      </c>
      <c r="E793" s="14" t="s">
        <v>75</v>
      </c>
      <c r="F793" s="14"/>
      <c r="G793" s="18">
        <v>402092</v>
      </c>
    </row>
    <row r="794" spans="1:7" x14ac:dyDescent="0.3">
      <c r="A794" s="13">
        <v>2021</v>
      </c>
      <c r="B794" s="14" t="s">
        <v>55</v>
      </c>
      <c r="C794" s="14" t="s">
        <v>47</v>
      </c>
      <c r="D794" t="s">
        <v>45</v>
      </c>
      <c r="E794" s="14" t="s">
        <v>61</v>
      </c>
      <c r="F794" s="14"/>
      <c r="G794" s="15">
        <v>299921</v>
      </c>
    </row>
    <row r="795" spans="1:7" x14ac:dyDescent="0.3">
      <c r="A795" s="16">
        <v>2021</v>
      </c>
      <c r="B795" s="17" t="s">
        <v>55</v>
      </c>
      <c r="C795" s="17" t="s">
        <v>47</v>
      </c>
      <c r="D795" t="s">
        <v>45</v>
      </c>
      <c r="E795" s="17" t="s">
        <v>61</v>
      </c>
      <c r="F795" s="14"/>
      <c r="G795" s="18">
        <v>98700</v>
      </c>
    </row>
    <row r="796" spans="1:7" x14ac:dyDescent="0.3">
      <c r="A796" s="13">
        <v>2021</v>
      </c>
      <c r="B796" s="14" t="s">
        <v>55</v>
      </c>
      <c r="C796" s="14" t="s">
        <v>47</v>
      </c>
      <c r="D796" t="s">
        <v>45</v>
      </c>
      <c r="E796" s="14" t="s">
        <v>62</v>
      </c>
      <c r="F796" s="14"/>
      <c r="G796" s="15">
        <v>198106</v>
      </c>
    </row>
    <row r="797" spans="1:7" x14ac:dyDescent="0.3">
      <c r="A797" s="16">
        <v>2021</v>
      </c>
      <c r="B797" s="17" t="s">
        <v>55</v>
      </c>
      <c r="C797" s="17" t="s">
        <v>47</v>
      </c>
      <c r="D797" t="s">
        <v>45</v>
      </c>
      <c r="E797" s="17" t="s">
        <v>62</v>
      </c>
      <c r="F797" s="14"/>
      <c r="G797" s="18">
        <v>346045</v>
      </c>
    </row>
    <row r="798" spans="1:7" x14ac:dyDescent="0.3">
      <c r="A798" s="13">
        <v>2021</v>
      </c>
      <c r="B798" s="14" t="s">
        <v>55</v>
      </c>
      <c r="C798" s="14" t="s">
        <v>47</v>
      </c>
      <c r="D798" t="s">
        <v>45</v>
      </c>
      <c r="E798" s="14" t="s">
        <v>62</v>
      </c>
      <c r="F798" s="14"/>
      <c r="G798" s="15">
        <v>424165</v>
      </c>
    </row>
    <row r="799" spans="1:7" x14ac:dyDescent="0.3">
      <c r="A799" s="16">
        <v>2021</v>
      </c>
      <c r="B799" s="17" t="s">
        <v>55</v>
      </c>
      <c r="C799" s="17" t="s">
        <v>47</v>
      </c>
      <c r="D799" t="s">
        <v>45</v>
      </c>
      <c r="E799" s="17" t="s">
        <v>62</v>
      </c>
      <c r="F799" s="14"/>
      <c r="G799" s="18">
        <v>426351</v>
      </c>
    </row>
    <row r="800" spans="1:7" x14ac:dyDescent="0.3">
      <c r="A800" s="13">
        <v>2021</v>
      </c>
      <c r="B800" s="14" t="s">
        <v>55</v>
      </c>
      <c r="C800" s="14" t="s">
        <v>47</v>
      </c>
      <c r="D800" t="s">
        <v>45</v>
      </c>
      <c r="E800" s="14" t="s">
        <v>63</v>
      </c>
      <c r="F800" s="14"/>
      <c r="G800" s="15">
        <v>473392</v>
      </c>
    </row>
    <row r="801" spans="1:7" x14ac:dyDescent="0.3">
      <c r="A801" s="16">
        <v>2021</v>
      </c>
      <c r="B801" s="17" t="s">
        <v>55</v>
      </c>
      <c r="C801" s="17" t="s">
        <v>47</v>
      </c>
      <c r="D801" t="s">
        <v>45</v>
      </c>
      <c r="E801" s="17" t="s">
        <v>64</v>
      </c>
      <c r="F801" s="14"/>
      <c r="G801" s="18">
        <v>677084</v>
      </c>
    </row>
    <row r="802" spans="1:7" x14ac:dyDescent="0.3">
      <c r="A802" s="13">
        <v>2021</v>
      </c>
      <c r="B802" s="14" t="s">
        <v>55</v>
      </c>
      <c r="C802" s="14" t="s">
        <v>47</v>
      </c>
      <c r="D802" t="s">
        <v>45</v>
      </c>
      <c r="E802" s="14" t="s">
        <v>75</v>
      </c>
      <c r="F802" s="14"/>
      <c r="G802" s="15">
        <v>662816</v>
      </c>
    </row>
    <row r="803" spans="1:7" x14ac:dyDescent="0.3">
      <c r="A803" s="16">
        <v>2021</v>
      </c>
      <c r="B803" s="17" t="s">
        <v>55</v>
      </c>
      <c r="C803" s="17" t="s">
        <v>47</v>
      </c>
      <c r="D803" t="s">
        <v>46</v>
      </c>
      <c r="E803" s="14" t="s">
        <v>61</v>
      </c>
      <c r="F803" s="14"/>
      <c r="G803" s="18">
        <v>121295</v>
      </c>
    </row>
    <row r="804" spans="1:7" x14ac:dyDescent="0.3">
      <c r="A804" s="13">
        <v>2021</v>
      </c>
      <c r="B804" s="14" t="s">
        <v>55</v>
      </c>
      <c r="C804" s="14" t="s">
        <v>47</v>
      </c>
      <c r="D804" t="s">
        <v>46</v>
      </c>
      <c r="E804" s="17" t="s">
        <v>61</v>
      </c>
      <c r="F804" s="14"/>
      <c r="G804" s="15">
        <v>29991</v>
      </c>
    </row>
    <row r="805" spans="1:7" x14ac:dyDescent="0.3">
      <c r="A805" s="16">
        <v>2021</v>
      </c>
      <c r="B805" s="17" t="s">
        <v>55</v>
      </c>
      <c r="C805" s="17" t="s">
        <v>47</v>
      </c>
      <c r="D805" t="s">
        <v>46</v>
      </c>
      <c r="E805" s="14" t="s">
        <v>62</v>
      </c>
      <c r="F805" s="14"/>
      <c r="G805" s="18">
        <v>70313</v>
      </c>
    </row>
    <row r="806" spans="1:7" x14ac:dyDescent="0.3">
      <c r="A806" s="13">
        <v>2021</v>
      </c>
      <c r="B806" s="14" t="s">
        <v>55</v>
      </c>
      <c r="C806" s="14" t="s">
        <v>47</v>
      </c>
      <c r="D806" t="s">
        <v>46</v>
      </c>
      <c r="E806" s="17" t="s">
        <v>62</v>
      </c>
      <c r="F806" s="14"/>
      <c r="G806" s="15">
        <v>276164</v>
      </c>
    </row>
    <row r="807" spans="1:7" x14ac:dyDescent="0.3">
      <c r="A807" s="16">
        <v>2021</v>
      </c>
      <c r="B807" s="17" t="s">
        <v>55</v>
      </c>
      <c r="C807" s="17" t="s">
        <v>47</v>
      </c>
      <c r="D807" t="s">
        <v>46</v>
      </c>
      <c r="E807" s="14" t="s">
        <v>62</v>
      </c>
      <c r="F807" s="14"/>
      <c r="G807" s="18">
        <v>644268</v>
      </c>
    </row>
    <row r="808" spans="1:7" x14ac:dyDescent="0.3">
      <c r="A808" s="13">
        <v>2021</v>
      </c>
      <c r="B808" s="14" t="s">
        <v>55</v>
      </c>
      <c r="C808" s="14" t="s">
        <v>47</v>
      </c>
      <c r="D808" t="s">
        <v>46</v>
      </c>
      <c r="E808" s="17" t="s">
        <v>62</v>
      </c>
      <c r="F808" s="14"/>
      <c r="G808" s="15">
        <v>278937</v>
      </c>
    </row>
    <row r="809" spans="1:7" x14ac:dyDescent="0.3">
      <c r="A809" s="16">
        <v>2021</v>
      </c>
      <c r="B809" s="17" t="s">
        <v>55</v>
      </c>
      <c r="C809" s="17" t="s">
        <v>47</v>
      </c>
      <c r="D809" t="s">
        <v>46</v>
      </c>
      <c r="E809" s="14" t="s">
        <v>63</v>
      </c>
      <c r="F809" s="14"/>
      <c r="G809" s="18">
        <v>328871</v>
      </c>
    </row>
    <row r="810" spans="1:7" x14ac:dyDescent="0.3">
      <c r="A810" s="13">
        <v>2021</v>
      </c>
      <c r="B810" s="14" t="s">
        <v>55</v>
      </c>
      <c r="C810" s="14" t="s">
        <v>47</v>
      </c>
      <c r="D810" t="s">
        <v>46</v>
      </c>
      <c r="E810" s="17" t="s">
        <v>64</v>
      </c>
      <c r="F810" s="14"/>
      <c r="G810" s="15">
        <v>651501</v>
      </c>
    </row>
    <row r="811" spans="1:7" x14ac:dyDescent="0.3">
      <c r="A811" s="16">
        <v>2021</v>
      </c>
      <c r="B811" s="17" t="s">
        <v>55</v>
      </c>
      <c r="C811" s="17" t="s">
        <v>47</v>
      </c>
      <c r="D811" t="s">
        <v>46</v>
      </c>
      <c r="E811" s="14" t="s">
        <v>75</v>
      </c>
      <c r="F811" s="14"/>
      <c r="G811" s="18">
        <v>1702011</v>
      </c>
    </row>
    <row r="812" spans="1:7" x14ac:dyDescent="0.3">
      <c r="A812" s="13">
        <v>2021</v>
      </c>
      <c r="B812" s="14" t="s">
        <v>56</v>
      </c>
      <c r="C812" s="14" t="s">
        <v>41</v>
      </c>
      <c r="D812" t="s">
        <v>42</v>
      </c>
      <c r="E812" s="14" t="s">
        <v>76</v>
      </c>
      <c r="F812" s="14"/>
      <c r="G812" s="15">
        <v>52304</v>
      </c>
    </row>
    <row r="813" spans="1:7" x14ac:dyDescent="0.3">
      <c r="A813" s="16">
        <v>2021</v>
      </c>
      <c r="B813" s="17" t="s">
        <v>56</v>
      </c>
      <c r="C813" s="17" t="s">
        <v>41</v>
      </c>
      <c r="D813" t="s">
        <v>42</v>
      </c>
      <c r="E813" s="17" t="s">
        <v>76</v>
      </c>
      <c r="F813" s="14"/>
      <c r="G813" s="18">
        <v>29547</v>
      </c>
    </row>
    <row r="814" spans="1:7" x14ac:dyDescent="0.3">
      <c r="A814" s="13">
        <v>2021</v>
      </c>
      <c r="B814" s="14" t="s">
        <v>56</v>
      </c>
      <c r="C814" s="14" t="s">
        <v>41</v>
      </c>
      <c r="D814" t="s">
        <v>42</v>
      </c>
      <c r="E814" s="14" t="s">
        <v>76</v>
      </c>
      <c r="F814" s="14"/>
      <c r="G814" s="15">
        <v>30851</v>
      </c>
    </row>
    <row r="815" spans="1:7" x14ac:dyDescent="0.3">
      <c r="A815" s="16">
        <v>2021</v>
      </c>
      <c r="B815" s="17" t="s">
        <v>56</v>
      </c>
      <c r="C815" s="17" t="s">
        <v>41</v>
      </c>
      <c r="D815" t="s">
        <v>42</v>
      </c>
      <c r="E815" s="17" t="s">
        <v>76</v>
      </c>
      <c r="F815" s="14"/>
      <c r="G815" s="18">
        <v>27551</v>
      </c>
    </row>
    <row r="816" spans="1:7" x14ac:dyDescent="0.3">
      <c r="A816" s="13">
        <v>2021</v>
      </c>
      <c r="B816" s="14" t="s">
        <v>56</v>
      </c>
      <c r="C816" s="14" t="s">
        <v>41</v>
      </c>
      <c r="D816" t="s">
        <v>42</v>
      </c>
      <c r="E816" s="14" t="s">
        <v>76</v>
      </c>
      <c r="F816" s="14"/>
      <c r="G816" s="15">
        <v>21381</v>
      </c>
    </row>
    <row r="817" spans="1:7" x14ac:dyDescent="0.3">
      <c r="A817" s="16">
        <v>2021</v>
      </c>
      <c r="B817" s="17" t="s">
        <v>56</v>
      </c>
      <c r="C817" s="17" t="s">
        <v>41</v>
      </c>
      <c r="D817" t="s">
        <v>42</v>
      </c>
      <c r="E817" s="17" t="s">
        <v>77</v>
      </c>
      <c r="F817" s="14"/>
      <c r="G817" s="18">
        <v>37907</v>
      </c>
    </row>
    <row r="818" spans="1:7" x14ac:dyDescent="0.3">
      <c r="A818" s="13">
        <v>2021</v>
      </c>
      <c r="B818" s="14" t="s">
        <v>56</v>
      </c>
      <c r="C818" s="14" t="s">
        <v>41</v>
      </c>
      <c r="D818" t="s">
        <v>42</v>
      </c>
      <c r="E818" s="14" t="s">
        <v>77</v>
      </c>
      <c r="F818" s="14"/>
      <c r="G818" s="15">
        <v>30873</v>
      </c>
    </row>
    <row r="819" spans="1:7" x14ac:dyDescent="0.3">
      <c r="A819" s="16">
        <v>2021</v>
      </c>
      <c r="B819" s="17" t="s">
        <v>56</v>
      </c>
      <c r="C819" s="17" t="s">
        <v>41</v>
      </c>
      <c r="D819" t="s">
        <v>42</v>
      </c>
      <c r="E819" s="17" t="s">
        <v>77</v>
      </c>
      <c r="F819" s="14"/>
      <c r="G819" s="18">
        <v>31660</v>
      </c>
    </row>
    <row r="820" spans="1:7" x14ac:dyDescent="0.3">
      <c r="A820" s="13">
        <v>2021</v>
      </c>
      <c r="B820" s="14" t="s">
        <v>56</v>
      </c>
      <c r="C820" s="14" t="s">
        <v>41</v>
      </c>
      <c r="D820" t="s">
        <v>42</v>
      </c>
      <c r="E820" s="14" t="s">
        <v>78</v>
      </c>
      <c r="F820" s="14"/>
      <c r="G820" s="15">
        <v>19210</v>
      </c>
    </row>
    <row r="821" spans="1:7" x14ac:dyDescent="0.3">
      <c r="A821" s="16">
        <v>2021</v>
      </c>
      <c r="B821" s="17" t="s">
        <v>56</v>
      </c>
      <c r="C821" s="17" t="s">
        <v>41</v>
      </c>
      <c r="D821" t="s">
        <v>43</v>
      </c>
      <c r="E821" s="14" t="s">
        <v>76</v>
      </c>
      <c r="F821" s="14"/>
      <c r="G821" s="18">
        <v>72915</v>
      </c>
    </row>
    <row r="822" spans="1:7" x14ac:dyDescent="0.3">
      <c r="A822" s="13">
        <v>2021</v>
      </c>
      <c r="B822" s="14" t="s">
        <v>56</v>
      </c>
      <c r="C822" s="14" t="s">
        <v>41</v>
      </c>
      <c r="D822" t="s">
        <v>43</v>
      </c>
      <c r="E822" s="17" t="s">
        <v>76</v>
      </c>
      <c r="F822" s="14"/>
      <c r="G822" s="15">
        <v>31887</v>
      </c>
    </row>
    <row r="823" spans="1:7" x14ac:dyDescent="0.3">
      <c r="A823" s="16">
        <v>2021</v>
      </c>
      <c r="B823" s="17" t="s">
        <v>56</v>
      </c>
      <c r="C823" s="17" t="s">
        <v>41</v>
      </c>
      <c r="D823" t="s">
        <v>43</v>
      </c>
      <c r="E823" s="14" t="s">
        <v>76</v>
      </c>
      <c r="F823" s="14"/>
      <c r="G823" s="18">
        <v>37495</v>
      </c>
    </row>
    <row r="824" spans="1:7" x14ac:dyDescent="0.3">
      <c r="A824" s="13">
        <v>2021</v>
      </c>
      <c r="B824" s="14" t="s">
        <v>56</v>
      </c>
      <c r="C824" s="14" t="s">
        <v>41</v>
      </c>
      <c r="D824" t="s">
        <v>43</v>
      </c>
      <c r="E824" s="17" t="s">
        <v>76</v>
      </c>
      <c r="F824" s="14"/>
      <c r="G824" s="15">
        <v>30362</v>
      </c>
    </row>
    <row r="825" spans="1:7" x14ac:dyDescent="0.3">
      <c r="A825" s="16">
        <v>2021</v>
      </c>
      <c r="B825" s="17" t="s">
        <v>56</v>
      </c>
      <c r="C825" s="17" t="s">
        <v>41</v>
      </c>
      <c r="D825" t="s">
        <v>43</v>
      </c>
      <c r="E825" s="14" t="s">
        <v>76</v>
      </c>
      <c r="F825" s="14"/>
      <c r="G825" s="18">
        <v>29387</v>
      </c>
    </row>
    <row r="826" spans="1:7" x14ac:dyDescent="0.3">
      <c r="A826" s="13">
        <v>2021</v>
      </c>
      <c r="B826" s="14" t="s">
        <v>56</v>
      </c>
      <c r="C826" s="14" t="s">
        <v>41</v>
      </c>
      <c r="D826" t="s">
        <v>43</v>
      </c>
      <c r="E826" s="17" t="s">
        <v>77</v>
      </c>
      <c r="F826" s="14"/>
      <c r="G826" s="15">
        <v>34913</v>
      </c>
    </row>
    <row r="827" spans="1:7" x14ac:dyDescent="0.3">
      <c r="A827" s="16">
        <v>2021</v>
      </c>
      <c r="B827" s="17" t="s">
        <v>56</v>
      </c>
      <c r="C827" s="17" t="s">
        <v>41</v>
      </c>
      <c r="D827" t="s">
        <v>43</v>
      </c>
      <c r="E827" s="14" t="s">
        <v>77</v>
      </c>
      <c r="F827" s="14"/>
      <c r="G827" s="18">
        <v>35226</v>
      </c>
    </row>
    <row r="828" spans="1:7" x14ac:dyDescent="0.3">
      <c r="A828" s="13">
        <v>2021</v>
      </c>
      <c r="B828" s="14" t="s">
        <v>56</v>
      </c>
      <c r="C828" s="14" t="s">
        <v>41</v>
      </c>
      <c r="D828" t="s">
        <v>43</v>
      </c>
      <c r="E828" s="17" t="s">
        <v>77</v>
      </c>
      <c r="F828" s="14"/>
      <c r="G828" s="15">
        <v>32245</v>
      </c>
    </row>
    <row r="829" spans="1:7" x14ac:dyDescent="0.3">
      <c r="A829" s="16">
        <v>2021</v>
      </c>
      <c r="B829" s="17" t="s">
        <v>56</v>
      </c>
      <c r="C829" s="17" t="s">
        <v>41</v>
      </c>
      <c r="D829" t="s">
        <v>43</v>
      </c>
      <c r="E829" s="14" t="s">
        <v>78</v>
      </c>
      <c r="F829" s="14"/>
      <c r="G829" s="18">
        <v>20088</v>
      </c>
    </row>
    <row r="830" spans="1:7" x14ac:dyDescent="0.3">
      <c r="A830" s="13">
        <v>2021</v>
      </c>
      <c r="B830" s="14" t="s">
        <v>56</v>
      </c>
      <c r="C830" s="14" t="s">
        <v>41</v>
      </c>
      <c r="D830" t="s">
        <v>44</v>
      </c>
      <c r="E830" s="14" t="s">
        <v>76</v>
      </c>
      <c r="F830" s="14"/>
      <c r="G830" s="15">
        <v>218670</v>
      </c>
    </row>
    <row r="831" spans="1:7" x14ac:dyDescent="0.3">
      <c r="A831" s="16">
        <v>2021</v>
      </c>
      <c r="B831" s="17" t="s">
        <v>56</v>
      </c>
      <c r="C831" s="17" t="s">
        <v>41</v>
      </c>
      <c r="D831" t="s">
        <v>44</v>
      </c>
      <c r="E831" s="17" t="s">
        <v>76</v>
      </c>
      <c r="F831" s="14"/>
      <c r="G831" s="18">
        <v>118682</v>
      </c>
    </row>
    <row r="832" spans="1:7" x14ac:dyDescent="0.3">
      <c r="A832" s="13">
        <v>2021</v>
      </c>
      <c r="B832" s="14" t="s">
        <v>56</v>
      </c>
      <c r="C832" s="14" t="s">
        <v>41</v>
      </c>
      <c r="D832" t="s">
        <v>44</v>
      </c>
      <c r="E832" s="14" t="s">
        <v>76</v>
      </c>
      <c r="F832" s="14"/>
      <c r="G832" s="15">
        <v>97724</v>
      </c>
    </row>
    <row r="833" spans="1:7" x14ac:dyDescent="0.3">
      <c r="A833" s="16">
        <v>2021</v>
      </c>
      <c r="B833" s="17" t="s">
        <v>56</v>
      </c>
      <c r="C833" s="17" t="s">
        <v>41</v>
      </c>
      <c r="D833" t="s">
        <v>44</v>
      </c>
      <c r="E833" s="17" t="s">
        <v>76</v>
      </c>
      <c r="F833" s="14"/>
      <c r="G833" s="18">
        <v>84120</v>
      </c>
    </row>
    <row r="834" spans="1:7" x14ac:dyDescent="0.3">
      <c r="A834" s="13">
        <v>2021</v>
      </c>
      <c r="B834" s="14" t="s">
        <v>56</v>
      </c>
      <c r="C834" s="14" t="s">
        <v>41</v>
      </c>
      <c r="D834" t="s">
        <v>44</v>
      </c>
      <c r="E834" s="14" t="s">
        <v>76</v>
      </c>
      <c r="F834" s="14"/>
      <c r="G834" s="15">
        <v>88905</v>
      </c>
    </row>
    <row r="835" spans="1:7" x14ac:dyDescent="0.3">
      <c r="A835" s="16">
        <v>2021</v>
      </c>
      <c r="B835" s="17" t="s">
        <v>56</v>
      </c>
      <c r="C835" s="17" t="s">
        <v>41</v>
      </c>
      <c r="D835" t="s">
        <v>44</v>
      </c>
      <c r="E835" s="17" t="s">
        <v>77</v>
      </c>
      <c r="F835" s="14"/>
      <c r="G835" s="18">
        <v>139923</v>
      </c>
    </row>
    <row r="836" spans="1:7" x14ac:dyDescent="0.3">
      <c r="A836" s="13">
        <v>2021</v>
      </c>
      <c r="B836" s="14" t="s">
        <v>56</v>
      </c>
      <c r="C836" s="14" t="s">
        <v>41</v>
      </c>
      <c r="D836" t="s">
        <v>44</v>
      </c>
      <c r="E836" s="14" t="s">
        <v>77</v>
      </c>
      <c r="F836" s="14"/>
      <c r="G836" s="15">
        <v>92321</v>
      </c>
    </row>
    <row r="837" spans="1:7" x14ac:dyDescent="0.3">
      <c r="A837" s="16">
        <v>2021</v>
      </c>
      <c r="B837" s="17" t="s">
        <v>56</v>
      </c>
      <c r="C837" s="17" t="s">
        <v>41</v>
      </c>
      <c r="D837" t="s">
        <v>44</v>
      </c>
      <c r="E837" s="17" t="s">
        <v>77</v>
      </c>
      <c r="F837" s="14"/>
      <c r="G837" s="18">
        <v>111192</v>
      </c>
    </row>
    <row r="838" spans="1:7" x14ac:dyDescent="0.3">
      <c r="A838" s="13">
        <v>2021</v>
      </c>
      <c r="B838" s="14" t="s">
        <v>56</v>
      </c>
      <c r="C838" s="14" t="s">
        <v>41</v>
      </c>
      <c r="D838" t="s">
        <v>44</v>
      </c>
      <c r="E838" s="14" t="s">
        <v>78</v>
      </c>
      <c r="F838" s="14"/>
      <c r="G838" s="15">
        <v>62378</v>
      </c>
    </row>
    <row r="839" spans="1:7" x14ac:dyDescent="0.3">
      <c r="A839" s="16">
        <v>2021</v>
      </c>
      <c r="B839" s="17" t="s">
        <v>56</v>
      </c>
      <c r="C839" s="17" t="s">
        <v>41</v>
      </c>
      <c r="D839" t="s">
        <v>45</v>
      </c>
      <c r="E839" s="14" t="s">
        <v>76</v>
      </c>
      <c r="F839" s="14"/>
      <c r="G839" s="18">
        <v>805686</v>
      </c>
    </row>
    <row r="840" spans="1:7" x14ac:dyDescent="0.3">
      <c r="A840" s="13">
        <v>2021</v>
      </c>
      <c r="B840" s="14" t="s">
        <v>56</v>
      </c>
      <c r="C840" s="14" t="s">
        <v>41</v>
      </c>
      <c r="D840" t="s">
        <v>45</v>
      </c>
      <c r="E840" s="17" t="s">
        <v>76</v>
      </c>
      <c r="F840" s="14"/>
      <c r="G840" s="15">
        <v>245859</v>
      </c>
    </row>
    <row r="841" spans="1:7" x14ac:dyDescent="0.3">
      <c r="A841" s="16">
        <v>2021</v>
      </c>
      <c r="B841" s="17" t="s">
        <v>56</v>
      </c>
      <c r="C841" s="17" t="s">
        <v>41</v>
      </c>
      <c r="D841" t="s">
        <v>45</v>
      </c>
      <c r="E841" s="14" t="s">
        <v>76</v>
      </c>
      <c r="F841" s="14"/>
      <c r="G841" s="18">
        <v>246287</v>
      </c>
    </row>
    <row r="842" spans="1:7" x14ac:dyDescent="0.3">
      <c r="A842" s="13">
        <v>2021</v>
      </c>
      <c r="B842" s="14" t="s">
        <v>56</v>
      </c>
      <c r="C842" s="14" t="s">
        <v>41</v>
      </c>
      <c r="D842" t="s">
        <v>45</v>
      </c>
      <c r="E842" s="17" t="s">
        <v>76</v>
      </c>
      <c r="F842" s="14"/>
      <c r="G842" s="15">
        <v>216804</v>
      </c>
    </row>
    <row r="843" spans="1:7" x14ac:dyDescent="0.3">
      <c r="A843" s="16">
        <v>2021</v>
      </c>
      <c r="B843" s="17" t="s">
        <v>56</v>
      </c>
      <c r="C843" s="17" t="s">
        <v>41</v>
      </c>
      <c r="D843" t="s">
        <v>45</v>
      </c>
      <c r="E843" s="14" t="s">
        <v>76</v>
      </c>
      <c r="F843" s="14"/>
      <c r="G843" s="18">
        <v>204319</v>
      </c>
    </row>
    <row r="844" spans="1:7" x14ac:dyDescent="0.3">
      <c r="A844" s="13">
        <v>2021</v>
      </c>
      <c r="B844" s="14" t="s">
        <v>56</v>
      </c>
      <c r="C844" s="14" t="s">
        <v>41</v>
      </c>
      <c r="D844" t="s">
        <v>45</v>
      </c>
      <c r="E844" s="17" t="s">
        <v>77</v>
      </c>
      <c r="F844" s="14"/>
      <c r="G844" s="15">
        <v>280151</v>
      </c>
    </row>
    <row r="845" spans="1:7" x14ac:dyDescent="0.3">
      <c r="A845" s="16">
        <v>2021</v>
      </c>
      <c r="B845" s="17" t="s">
        <v>56</v>
      </c>
      <c r="C845" s="17" t="s">
        <v>41</v>
      </c>
      <c r="D845" t="s">
        <v>45</v>
      </c>
      <c r="E845" s="14" t="s">
        <v>77</v>
      </c>
      <c r="F845" s="14"/>
      <c r="G845" s="18">
        <v>236904</v>
      </c>
    </row>
    <row r="846" spans="1:7" x14ac:dyDescent="0.3">
      <c r="A846" s="13">
        <v>2021</v>
      </c>
      <c r="B846" s="14" t="s">
        <v>56</v>
      </c>
      <c r="C846" s="14" t="s">
        <v>41</v>
      </c>
      <c r="D846" t="s">
        <v>45</v>
      </c>
      <c r="E846" s="17" t="s">
        <v>77</v>
      </c>
      <c r="F846" s="14"/>
      <c r="G846" s="15">
        <v>221479</v>
      </c>
    </row>
    <row r="847" spans="1:7" x14ac:dyDescent="0.3">
      <c r="A847" s="16">
        <v>2021</v>
      </c>
      <c r="B847" s="17" t="s">
        <v>56</v>
      </c>
      <c r="C847" s="17" t="s">
        <v>41</v>
      </c>
      <c r="D847" t="s">
        <v>45</v>
      </c>
      <c r="E847" s="14" t="s">
        <v>78</v>
      </c>
      <c r="F847" s="14"/>
      <c r="G847" s="18">
        <v>142616</v>
      </c>
    </row>
    <row r="848" spans="1:7" x14ac:dyDescent="0.3">
      <c r="A848" s="13">
        <v>2021</v>
      </c>
      <c r="B848" s="14" t="s">
        <v>56</v>
      </c>
      <c r="C848" s="14" t="s">
        <v>41</v>
      </c>
      <c r="D848" t="s">
        <v>46</v>
      </c>
      <c r="E848" s="14" t="s">
        <v>76</v>
      </c>
      <c r="F848" s="14"/>
      <c r="G848" s="15">
        <v>14238819</v>
      </c>
    </row>
    <row r="849" spans="1:7" x14ac:dyDescent="0.3">
      <c r="A849" s="16">
        <v>2021</v>
      </c>
      <c r="B849" s="17" t="s">
        <v>56</v>
      </c>
      <c r="C849" s="17" t="s">
        <v>41</v>
      </c>
      <c r="D849" t="s">
        <v>46</v>
      </c>
      <c r="E849" s="17" t="s">
        <v>76</v>
      </c>
      <c r="F849" s="14"/>
      <c r="G849" s="18">
        <v>2743033</v>
      </c>
    </row>
    <row r="850" spans="1:7" x14ac:dyDescent="0.3">
      <c r="A850" s="13">
        <v>2021</v>
      </c>
      <c r="B850" s="14" t="s">
        <v>56</v>
      </c>
      <c r="C850" s="14" t="s">
        <v>41</v>
      </c>
      <c r="D850" t="s">
        <v>46</v>
      </c>
      <c r="E850" s="14" t="s">
        <v>76</v>
      </c>
      <c r="F850" s="14"/>
      <c r="G850" s="15">
        <v>2483017</v>
      </c>
    </row>
    <row r="851" spans="1:7" x14ac:dyDescent="0.3">
      <c r="A851" s="16">
        <v>2021</v>
      </c>
      <c r="B851" s="17" t="s">
        <v>56</v>
      </c>
      <c r="C851" s="17" t="s">
        <v>41</v>
      </c>
      <c r="D851" t="s">
        <v>46</v>
      </c>
      <c r="E851" s="17" t="s">
        <v>76</v>
      </c>
      <c r="F851" s="14"/>
      <c r="G851" s="18">
        <v>3749657</v>
      </c>
    </row>
    <row r="852" spans="1:7" x14ac:dyDescent="0.3">
      <c r="A852" s="13">
        <v>2021</v>
      </c>
      <c r="B852" s="14" t="s">
        <v>56</v>
      </c>
      <c r="C852" s="14" t="s">
        <v>41</v>
      </c>
      <c r="D852" t="s">
        <v>46</v>
      </c>
      <c r="E852" s="14" t="s">
        <v>76</v>
      </c>
      <c r="F852" s="14"/>
      <c r="G852" s="15">
        <v>5471639</v>
      </c>
    </row>
    <row r="853" spans="1:7" x14ac:dyDescent="0.3">
      <c r="A853" s="16">
        <v>2021</v>
      </c>
      <c r="B853" s="17" t="s">
        <v>56</v>
      </c>
      <c r="C853" s="17" t="s">
        <v>41</v>
      </c>
      <c r="D853" t="s">
        <v>46</v>
      </c>
      <c r="E853" s="17" t="s">
        <v>77</v>
      </c>
      <c r="F853" s="14"/>
      <c r="G853" s="18">
        <v>7146157</v>
      </c>
    </row>
    <row r="854" spans="1:7" x14ac:dyDescent="0.3">
      <c r="A854" s="13">
        <v>2021</v>
      </c>
      <c r="B854" s="14" t="s">
        <v>56</v>
      </c>
      <c r="C854" s="14" t="s">
        <v>41</v>
      </c>
      <c r="D854" t="s">
        <v>46</v>
      </c>
      <c r="E854" s="14" t="s">
        <v>77</v>
      </c>
      <c r="F854" s="14"/>
      <c r="G854" s="15">
        <v>3142761</v>
      </c>
    </row>
    <row r="855" spans="1:7" x14ac:dyDescent="0.3">
      <c r="A855" s="16">
        <v>2021</v>
      </c>
      <c r="B855" s="17" t="s">
        <v>56</v>
      </c>
      <c r="C855" s="17" t="s">
        <v>41</v>
      </c>
      <c r="D855" t="s">
        <v>46</v>
      </c>
      <c r="E855" s="17" t="s">
        <v>77</v>
      </c>
      <c r="F855" s="14"/>
      <c r="G855" s="18">
        <v>4134036</v>
      </c>
    </row>
    <row r="856" spans="1:7" x14ac:dyDescent="0.3">
      <c r="A856" s="13">
        <v>2021</v>
      </c>
      <c r="B856" s="14" t="s">
        <v>56</v>
      </c>
      <c r="C856" s="14" t="s">
        <v>41</v>
      </c>
      <c r="D856" t="s">
        <v>46</v>
      </c>
      <c r="E856" s="14" t="s">
        <v>78</v>
      </c>
      <c r="F856" s="14"/>
      <c r="G856" s="15">
        <v>6486431</v>
      </c>
    </row>
    <row r="857" spans="1:7" x14ac:dyDescent="0.3">
      <c r="A857" s="16">
        <v>2021</v>
      </c>
      <c r="B857" s="17" t="s">
        <v>56</v>
      </c>
      <c r="C857" s="17" t="s">
        <v>47</v>
      </c>
      <c r="D857" t="s">
        <v>42</v>
      </c>
      <c r="E857" s="14" t="s">
        <v>61</v>
      </c>
      <c r="F857" s="14"/>
      <c r="G857" s="18">
        <v>431186</v>
      </c>
    </row>
    <row r="858" spans="1:7" x14ac:dyDescent="0.3">
      <c r="A858" s="13">
        <v>2021</v>
      </c>
      <c r="B858" s="14" t="s">
        <v>56</v>
      </c>
      <c r="C858" s="14" t="s">
        <v>47</v>
      </c>
      <c r="D858" t="s">
        <v>42</v>
      </c>
      <c r="E858" s="17" t="s">
        <v>61</v>
      </c>
      <c r="F858" s="14"/>
      <c r="G858" s="15">
        <v>1339003</v>
      </c>
    </row>
    <row r="859" spans="1:7" x14ac:dyDescent="0.3">
      <c r="A859" s="16">
        <v>2021</v>
      </c>
      <c r="B859" s="17" t="s">
        <v>56</v>
      </c>
      <c r="C859" s="17" t="s">
        <v>47</v>
      </c>
      <c r="D859" t="s">
        <v>42</v>
      </c>
      <c r="E859" s="14" t="s">
        <v>62</v>
      </c>
      <c r="F859" s="14"/>
      <c r="G859" s="18">
        <v>818473</v>
      </c>
    </row>
    <row r="860" spans="1:7" x14ac:dyDescent="0.3">
      <c r="A860" s="13">
        <v>2021</v>
      </c>
      <c r="B860" s="14" t="s">
        <v>56</v>
      </c>
      <c r="C860" s="14" t="s">
        <v>47</v>
      </c>
      <c r="D860" t="s">
        <v>42</v>
      </c>
      <c r="E860" s="17" t="s">
        <v>62</v>
      </c>
      <c r="F860" s="14"/>
      <c r="G860" s="15">
        <v>763677</v>
      </c>
    </row>
    <row r="861" spans="1:7" x14ac:dyDescent="0.3">
      <c r="A861" s="16">
        <v>2021</v>
      </c>
      <c r="B861" s="17" t="s">
        <v>56</v>
      </c>
      <c r="C861" s="17" t="s">
        <v>47</v>
      </c>
      <c r="D861" t="s">
        <v>42</v>
      </c>
      <c r="E861" s="14" t="s">
        <v>62</v>
      </c>
      <c r="F861" s="14"/>
      <c r="G861" s="18">
        <v>815605</v>
      </c>
    </row>
    <row r="862" spans="1:7" x14ac:dyDescent="0.3">
      <c r="A862" s="13">
        <v>2021</v>
      </c>
      <c r="B862" s="14" t="s">
        <v>56</v>
      </c>
      <c r="C862" s="14" t="s">
        <v>47</v>
      </c>
      <c r="D862" t="s">
        <v>42</v>
      </c>
      <c r="E862" s="17" t="s">
        <v>62</v>
      </c>
      <c r="F862" s="14"/>
      <c r="G862" s="15">
        <v>1195860</v>
      </c>
    </row>
    <row r="863" spans="1:7" x14ac:dyDescent="0.3">
      <c r="A863" s="16">
        <v>2021</v>
      </c>
      <c r="B863" s="17" t="s">
        <v>56</v>
      </c>
      <c r="C863" s="17" t="s">
        <v>47</v>
      </c>
      <c r="D863" t="s">
        <v>42</v>
      </c>
      <c r="E863" s="14" t="s">
        <v>63</v>
      </c>
      <c r="F863" s="14"/>
      <c r="G863" s="18">
        <v>900229</v>
      </c>
    </row>
    <row r="864" spans="1:7" x14ac:dyDescent="0.3">
      <c r="A864" s="13">
        <v>2021</v>
      </c>
      <c r="B864" s="14" t="s">
        <v>56</v>
      </c>
      <c r="C864" s="14" t="s">
        <v>47</v>
      </c>
      <c r="D864" t="s">
        <v>42</v>
      </c>
      <c r="E864" s="17" t="s">
        <v>64</v>
      </c>
      <c r="F864" s="14"/>
      <c r="G864" s="15">
        <v>1368183</v>
      </c>
    </row>
    <row r="865" spans="1:7" x14ac:dyDescent="0.3">
      <c r="A865" s="16">
        <v>2021</v>
      </c>
      <c r="B865" s="17" t="s">
        <v>56</v>
      </c>
      <c r="C865" s="17" t="s">
        <v>47</v>
      </c>
      <c r="D865" t="s">
        <v>42</v>
      </c>
      <c r="E865" s="14" t="s">
        <v>75</v>
      </c>
      <c r="F865" s="14"/>
      <c r="G865" s="18">
        <v>925155</v>
      </c>
    </row>
    <row r="866" spans="1:7" x14ac:dyDescent="0.3">
      <c r="A866" s="13">
        <v>2021</v>
      </c>
      <c r="B866" s="14" t="s">
        <v>56</v>
      </c>
      <c r="C866" s="14" t="s">
        <v>47</v>
      </c>
      <c r="D866" t="s">
        <v>43</v>
      </c>
      <c r="E866" s="14" t="s">
        <v>61</v>
      </c>
      <c r="F866" s="14"/>
      <c r="G866" s="15">
        <v>460795</v>
      </c>
    </row>
    <row r="867" spans="1:7" x14ac:dyDescent="0.3">
      <c r="A867" s="16">
        <v>2021</v>
      </c>
      <c r="B867" s="17" t="s">
        <v>56</v>
      </c>
      <c r="C867" s="17" t="s">
        <v>47</v>
      </c>
      <c r="D867" t="s">
        <v>43</v>
      </c>
      <c r="E867" s="17" t="s">
        <v>61</v>
      </c>
      <c r="F867" s="14"/>
      <c r="G867" s="18">
        <v>252360</v>
      </c>
    </row>
    <row r="868" spans="1:7" x14ac:dyDescent="0.3">
      <c r="A868" s="13">
        <v>2021</v>
      </c>
      <c r="B868" s="14" t="s">
        <v>56</v>
      </c>
      <c r="C868" s="14" t="s">
        <v>47</v>
      </c>
      <c r="D868" t="s">
        <v>43</v>
      </c>
      <c r="E868" s="14" t="s">
        <v>62</v>
      </c>
      <c r="F868" s="14"/>
      <c r="G868" s="15">
        <v>230449</v>
      </c>
    </row>
    <row r="869" spans="1:7" x14ac:dyDescent="0.3">
      <c r="A869" s="16">
        <v>2021</v>
      </c>
      <c r="B869" s="17" t="s">
        <v>56</v>
      </c>
      <c r="C869" s="17" t="s">
        <v>47</v>
      </c>
      <c r="D869" t="s">
        <v>43</v>
      </c>
      <c r="E869" s="17" t="s">
        <v>62</v>
      </c>
      <c r="F869" s="14"/>
      <c r="G869" s="18">
        <v>188702</v>
      </c>
    </row>
    <row r="870" spans="1:7" x14ac:dyDescent="0.3">
      <c r="A870" s="13">
        <v>2021</v>
      </c>
      <c r="B870" s="14" t="s">
        <v>56</v>
      </c>
      <c r="C870" s="14" t="s">
        <v>47</v>
      </c>
      <c r="D870" t="s">
        <v>43</v>
      </c>
      <c r="E870" s="14" t="s">
        <v>62</v>
      </c>
      <c r="F870" s="14"/>
      <c r="G870" s="15">
        <v>187694</v>
      </c>
    </row>
    <row r="871" spans="1:7" x14ac:dyDescent="0.3">
      <c r="A871" s="16">
        <v>2021</v>
      </c>
      <c r="B871" s="17" t="s">
        <v>56</v>
      </c>
      <c r="C871" s="17" t="s">
        <v>47</v>
      </c>
      <c r="D871" t="s">
        <v>43</v>
      </c>
      <c r="E871" s="17" t="s">
        <v>62</v>
      </c>
      <c r="F871" s="14"/>
      <c r="G871" s="18">
        <v>167670</v>
      </c>
    </row>
    <row r="872" spans="1:7" x14ac:dyDescent="0.3">
      <c r="A872" s="13">
        <v>2021</v>
      </c>
      <c r="B872" s="14" t="s">
        <v>56</v>
      </c>
      <c r="C872" s="14" t="s">
        <v>47</v>
      </c>
      <c r="D872" t="s">
        <v>43</v>
      </c>
      <c r="E872" s="14" t="s">
        <v>63</v>
      </c>
      <c r="F872" s="14"/>
      <c r="G872" s="15">
        <v>126255</v>
      </c>
    </row>
    <row r="873" spans="1:7" x14ac:dyDescent="0.3">
      <c r="A873" s="16">
        <v>2021</v>
      </c>
      <c r="B873" s="17" t="s">
        <v>56</v>
      </c>
      <c r="C873" s="17" t="s">
        <v>47</v>
      </c>
      <c r="D873" t="s">
        <v>43</v>
      </c>
      <c r="E873" s="17" t="s">
        <v>64</v>
      </c>
      <c r="F873" s="14"/>
      <c r="G873" s="18">
        <v>344761</v>
      </c>
    </row>
    <row r="874" spans="1:7" x14ac:dyDescent="0.3">
      <c r="A874" s="13">
        <v>2021</v>
      </c>
      <c r="B874" s="14" t="s">
        <v>56</v>
      </c>
      <c r="C874" s="14" t="s">
        <v>47</v>
      </c>
      <c r="D874" t="s">
        <v>43</v>
      </c>
      <c r="E874" s="14" t="s">
        <v>75</v>
      </c>
      <c r="F874" s="14"/>
      <c r="G874" s="15">
        <v>436617</v>
      </c>
    </row>
    <row r="875" spans="1:7" x14ac:dyDescent="0.3">
      <c r="A875" s="16">
        <v>2021</v>
      </c>
      <c r="B875" s="17" t="s">
        <v>56</v>
      </c>
      <c r="C875" s="17" t="s">
        <v>47</v>
      </c>
      <c r="D875" t="s">
        <v>44</v>
      </c>
      <c r="E875" s="14" t="s">
        <v>61</v>
      </c>
      <c r="F875" s="14"/>
      <c r="G875" s="18">
        <v>1180071</v>
      </c>
    </row>
    <row r="876" spans="1:7" x14ac:dyDescent="0.3">
      <c r="A876" s="13">
        <v>2021</v>
      </c>
      <c r="B876" s="14" t="s">
        <v>56</v>
      </c>
      <c r="C876" s="14" t="s">
        <v>47</v>
      </c>
      <c r="D876" t="s">
        <v>44</v>
      </c>
      <c r="E876" s="17" t="s">
        <v>61</v>
      </c>
      <c r="F876" s="14"/>
      <c r="G876" s="15">
        <v>458643</v>
      </c>
    </row>
    <row r="877" spans="1:7" x14ac:dyDescent="0.3">
      <c r="A877" s="16">
        <v>2021</v>
      </c>
      <c r="B877" s="17" t="s">
        <v>56</v>
      </c>
      <c r="C877" s="17" t="s">
        <v>47</v>
      </c>
      <c r="D877" t="s">
        <v>44</v>
      </c>
      <c r="E877" s="14" t="s">
        <v>62</v>
      </c>
      <c r="F877" s="14"/>
      <c r="G877" s="18">
        <v>687897</v>
      </c>
    </row>
    <row r="878" spans="1:7" x14ac:dyDescent="0.3">
      <c r="A878" s="13">
        <v>2021</v>
      </c>
      <c r="B878" s="14" t="s">
        <v>56</v>
      </c>
      <c r="C878" s="14" t="s">
        <v>47</v>
      </c>
      <c r="D878" t="s">
        <v>44</v>
      </c>
      <c r="E878" s="17" t="s">
        <v>62</v>
      </c>
      <c r="F878" s="14"/>
      <c r="G878" s="15">
        <v>497711</v>
      </c>
    </row>
    <row r="879" spans="1:7" x14ac:dyDescent="0.3">
      <c r="A879" s="16">
        <v>2021</v>
      </c>
      <c r="B879" s="17" t="s">
        <v>56</v>
      </c>
      <c r="C879" s="17" t="s">
        <v>47</v>
      </c>
      <c r="D879" t="s">
        <v>44</v>
      </c>
      <c r="E879" s="14" t="s">
        <v>62</v>
      </c>
      <c r="F879" s="14"/>
      <c r="G879" s="18">
        <v>277839</v>
      </c>
    </row>
    <row r="880" spans="1:7" x14ac:dyDescent="0.3">
      <c r="A880" s="13">
        <v>2021</v>
      </c>
      <c r="B880" s="14" t="s">
        <v>56</v>
      </c>
      <c r="C880" s="14" t="s">
        <v>47</v>
      </c>
      <c r="D880" t="s">
        <v>44</v>
      </c>
      <c r="E880" s="17" t="s">
        <v>62</v>
      </c>
      <c r="F880" s="14"/>
      <c r="G880" s="15">
        <v>237597</v>
      </c>
    </row>
    <row r="881" spans="1:7" x14ac:dyDescent="0.3">
      <c r="A881" s="16">
        <v>2021</v>
      </c>
      <c r="B881" s="17" t="s">
        <v>56</v>
      </c>
      <c r="C881" s="17" t="s">
        <v>47</v>
      </c>
      <c r="D881" t="s">
        <v>44</v>
      </c>
      <c r="E881" s="14" t="s">
        <v>63</v>
      </c>
      <c r="F881" s="14"/>
      <c r="G881" s="18">
        <v>190608</v>
      </c>
    </row>
    <row r="882" spans="1:7" x14ac:dyDescent="0.3">
      <c r="A882" s="13">
        <v>2021</v>
      </c>
      <c r="B882" s="14" t="s">
        <v>56</v>
      </c>
      <c r="C882" s="14" t="s">
        <v>47</v>
      </c>
      <c r="D882" t="s">
        <v>44</v>
      </c>
      <c r="E882" s="17" t="s">
        <v>64</v>
      </c>
      <c r="F882" s="14"/>
      <c r="G882" s="15">
        <v>294322</v>
      </c>
    </row>
    <row r="883" spans="1:7" x14ac:dyDescent="0.3">
      <c r="A883" s="16">
        <v>2021</v>
      </c>
      <c r="B883" s="17" t="s">
        <v>56</v>
      </c>
      <c r="C883" s="17" t="s">
        <v>47</v>
      </c>
      <c r="D883" t="s">
        <v>44</v>
      </c>
      <c r="E883" s="14" t="s">
        <v>75</v>
      </c>
      <c r="F883" s="14"/>
      <c r="G883" s="18">
        <v>295440</v>
      </c>
    </row>
    <row r="884" spans="1:7" x14ac:dyDescent="0.3">
      <c r="A884" s="13">
        <v>2021</v>
      </c>
      <c r="B884" s="14" t="s">
        <v>56</v>
      </c>
      <c r="C884" s="14" t="s">
        <v>47</v>
      </c>
      <c r="D884" t="s">
        <v>45</v>
      </c>
      <c r="E884" s="14" t="s">
        <v>61</v>
      </c>
      <c r="F884" s="14"/>
      <c r="G884" s="15">
        <v>5842025</v>
      </c>
    </row>
    <row r="885" spans="1:7" x14ac:dyDescent="0.3">
      <c r="A885" s="16">
        <v>2021</v>
      </c>
      <c r="B885" s="17" t="s">
        <v>56</v>
      </c>
      <c r="C885" s="17" t="s">
        <v>47</v>
      </c>
      <c r="D885" t="s">
        <v>45</v>
      </c>
      <c r="E885" s="17" t="s">
        <v>61</v>
      </c>
      <c r="F885" s="14"/>
      <c r="G885" s="18">
        <v>2323444</v>
      </c>
    </row>
    <row r="886" spans="1:7" x14ac:dyDescent="0.3">
      <c r="A886" s="13">
        <v>2021</v>
      </c>
      <c r="B886" s="14" t="s">
        <v>56</v>
      </c>
      <c r="C886" s="14" t="s">
        <v>47</v>
      </c>
      <c r="D886" t="s">
        <v>45</v>
      </c>
      <c r="E886" s="14" t="s">
        <v>62</v>
      </c>
      <c r="F886" s="14"/>
      <c r="G886" s="15">
        <v>2433274</v>
      </c>
    </row>
    <row r="887" spans="1:7" x14ac:dyDescent="0.3">
      <c r="A887" s="16">
        <v>2021</v>
      </c>
      <c r="B887" s="17" t="s">
        <v>56</v>
      </c>
      <c r="C887" s="17" t="s">
        <v>47</v>
      </c>
      <c r="D887" t="s">
        <v>45</v>
      </c>
      <c r="E887" s="17" t="s">
        <v>62</v>
      </c>
      <c r="F887" s="14"/>
      <c r="G887" s="18">
        <v>3000053</v>
      </c>
    </row>
    <row r="888" spans="1:7" x14ac:dyDescent="0.3">
      <c r="A888" s="13">
        <v>2021</v>
      </c>
      <c r="B888" s="14" t="s">
        <v>56</v>
      </c>
      <c r="C888" s="14" t="s">
        <v>47</v>
      </c>
      <c r="D888" t="s">
        <v>45</v>
      </c>
      <c r="E888" s="14" t="s">
        <v>62</v>
      </c>
      <c r="F888" s="14"/>
      <c r="G888" s="15">
        <v>1149672</v>
      </c>
    </row>
    <row r="889" spans="1:7" x14ac:dyDescent="0.3">
      <c r="A889" s="16">
        <v>2021</v>
      </c>
      <c r="B889" s="17" t="s">
        <v>56</v>
      </c>
      <c r="C889" s="17" t="s">
        <v>47</v>
      </c>
      <c r="D889" t="s">
        <v>45</v>
      </c>
      <c r="E889" s="17" t="s">
        <v>62</v>
      </c>
      <c r="F889" s="14"/>
      <c r="G889" s="18">
        <v>1057472</v>
      </c>
    </row>
    <row r="890" spans="1:7" x14ac:dyDescent="0.3">
      <c r="A890" s="13">
        <v>2021</v>
      </c>
      <c r="B890" s="14" t="s">
        <v>56</v>
      </c>
      <c r="C890" s="14" t="s">
        <v>47</v>
      </c>
      <c r="D890" t="s">
        <v>45</v>
      </c>
      <c r="E890" s="14" t="s">
        <v>63</v>
      </c>
      <c r="F890" s="14"/>
      <c r="G890" s="15">
        <v>835208</v>
      </c>
    </row>
    <row r="891" spans="1:7" x14ac:dyDescent="0.3">
      <c r="A891" s="16">
        <v>2021</v>
      </c>
      <c r="B891" s="17" t="s">
        <v>56</v>
      </c>
      <c r="C891" s="17" t="s">
        <v>47</v>
      </c>
      <c r="D891" t="s">
        <v>45</v>
      </c>
      <c r="E891" s="17" t="s">
        <v>64</v>
      </c>
      <c r="F891" s="14"/>
      <c r="G891" s="18">
        <v>509616</v>
      </c>
    </row>
    <row r="892" spans="1:7" x14ac:dyDescent="0.3">
      <c r="A892" s="13">
        <v>2021</v>
      </c>
      <c r="B892" s="14" t="s">
        <v>56</v>
      </c>
      <c r="C892" s="14" t="s">
        <v>47</v>
      </c>
      <c r="D892" t="s">
        <v>45</v>
      </c>
      <c r="E892" s="14" t="s">
        <v>75</v>
      </c>
      <c r="F892" s="14"/>
      <c r="G892" s="15">
        <v>474682</v>
      </c>
    </row>
    <row r="893" spans="1:7" x14ac:dyDescent="0.3">
      <c r="A893" s="16">
        <v>2021</v>
      </c>
      <c r="B893" s="17" t="s">
        <v>56</v>
      </c>
      <c r="C893" s="17" t="s">
        <v>47</v>
      </c>
      <c r="D893" t="s">
        <v>46</v>
      </c>
      <c r="E893" s="14" t="s">
        <v>61</v>
      </c>
      <c r="F893" s="14"/>
      <c r="G893" s="18">
        <v>15339259</v>
      </c>
    </row>
    <row r="894" spans="1:7" x14ac:dyDescent="0.3">
      <c r="A894" s="13">
        <v>2021</v>
      </c>
      <c r="B894" s="14" t="s">
        <v>56</v>
      </c>
      <c r="C894" s="14" t="s">
        <v>47</v>
      </c>
      <c r="D894" t="s">
        <v>46</v>
      </c>
      <c r="E894" s="17" t="s">
        <v>61</v>
      </c>
      <c r="F894" s="14"/>
      <c r="G894" s="15">
        <v>1764404</v>
      </c>
    </row>
    <row r="895" spans="1:7" x14ac:dyDescent="0.3">
      <c r="A895" s="16">
        <v>2021</v>
      </c>
      <c r="B895" s="17" t="s">
        <v>56</v>
      </c>
      <c r="C895" s="17" t="s">
        <v>47</v>
      </c>
      <c r="D895" t="s">
        <v>46</v>
      </c>
      <c r="E895" s="14" t="s">
        <v>62</v>
      </c>
      <c r="F895" s="14"/>
      <c r="G895" s="18">
        <v>2920084</v>
      </c>
    </row>
    <row r="896" spans="1:7" x14ac:dyDescent="0.3">
      <c r="A896" s="13">
        <v>2021</v>
      </c>
      <c r="B896" s="14" t="s">
        <v>56</v>
      </c>
      <c r="C896" s="14" t="s">
        <v>47</v>
      </c>
      <c r="D896" t="s">
        <v>46</v>
      </c>
      <c r="E896" s="17" t="s">
        <v>62</v>
      </c>
      <c r="F896" s="14"/>
      <c r="G896" s="15">
        <v>4843996</v>
      </c>
    </row>
    <row r="897" spans="1:7" x14ac:dyDescent="0.3">
      <c r="A897" s="16">
        <v>2021</v>
      </c>
      <c r="B897" s="17" t="s">
        <v>56</v>
      </c>
      <c r="C897" s="17" t="s">
        <v>47</v>
      </c>
      <c r="D897" t="s">
        <v>46</v>
      </c>
      <c r="E897" s="14" t="s">
        <v>62</v>
      </c>
      <c r="F897" s="14"/>
      <c r="G897" s="18">
        <v>5451357</v>
      </c>
    </row>
    <row r="898" spans="1:7" x14ac:dyDescent="0.3">
      <c r="A898" s="13">
        <v>2021</v>
      </c>
      <c r="B898" s="14" t="s">
        <v>56</v>
      </c>
      <c r="C898" s="14" t="s">
        <v>47</v>
      </c>
      <c r="D898" t="s">
        <v>46</v>
      </c>
      <c r="E898" s="17" t="s">
        <v>62</v>
      </c>
      <c r="F898" s="14"/>
      <c r="G898" s="15">
        <v>3794303</v>
      </c>
    </row>
    <row r="899" spans="1:7" x14ac:dyDescent="0.3">
      <c r="A899" s="16">
        <v>2021</v>
      </c>
      <c r="B899" s="17" t="s">
        <v>56</v>
      </c>
      <c r="C899" s="17" t="s">
        <v>47</v>
      </c>
      <c r="D899" t="s">
        <v>46</v>
      </c>
      <c r="E899" s="14" t="s">
        <v>63</v>
      </c>
      <c r="F899" s="14"/>
      <c r="G899" s="18">
        <v>3135980</v>
      </c>
    </row>
    <row r="900" spans="1:7" x14ac:dyDescent="0.3">
      <c r="A900" s="13">
        <v>2021</v>
      </c>
      <c r="B900" s="14" t="s">
        <v>56</v>
      </c>
      <c r="C900" s="14" t="s">
        <v>47</v>
      </c>
      <c r="D900" t="s">
        <v>46</v>
      </c>
      <c r="E900" s="17" t="s">
        <v>64</v>
      </c>
      <c r="F900" s="14"/>
      <c r="G900" s="15">
        <v>4900876</v>
      </c>
    </row>
    <row r="901" spans="1:7" x14ac:dyDescent="0.3">
      <c r="A901" s="16">
        <v>2021</v>
      </c>
      <c r="B901" s="17" t="s">
        <v>56</v>
      </c>
      <c r="C901" s="17" t="s">
        <v>47</v>
      </c>
      <c r="D901" t="s">
        <v>46</v>
      </c>
      <c r="E901" s="14" t="s">
        <v>75</v>
      </c>
      <c r="F901" s="14"/>
      <c r="G901" s="18">
        <v>11165813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9273D-39BD-4579-A7AE-BF977B225C49}">
  <dimension ref="A1:G39"/>
  <sheetViews>
    <sheetView workbookViewId="0">
      <selection activeCell="C48" sqref="C48"/>
    </sheetView>
  </sheetViews>
  <sheetFormatPr baseColWidth="10" defaultRowHeight="14.4" x14ac:dyDescent="0.3"/>
  <cols>
    <col min="3" max="3" width="51.21875" bestFit="1" customWidth="1"/>
    <col min="4" max="4" width="21.5546875" customWidth="1"/>
    <col min="5" max="6" width="15.33203125" customWidth="1"/>
  </cols>
  <sheetData>
    <row r="1" spans="1:7" x14ac:dyDescent="0.3">
      <c r="A1" s="10" t="s">
        <v>36</v>
      </c>
      <c r="B1" s="11" t="s">
        <v>37</v>
      </c>
      <c r="C1" s="11" t="s">
        <v>38</v>
      </c>
      <c r="D1" s="11" t="s">
        <v>79</v>
      </c>
      <c r="E1" s="12" t="s">
        <v>71</v>
      </c>
      <c r="F1" s="12" t="s">
        <v>72</v>
      </c>
    </row>
    <row r="2" spans="1:7" x14ac:dyDescent="0.3">
      <c r="A2" s="13">
        <v>2021</v>
      </c>
      <c r="B2" s="14" t="s">
        <v>40</v>
      </c>
      <c r="C2" s="14" t="s">
        <v>41</v>
      </c>
      <c r="D2" s="14" t="s">
        <v>88</v>
      </c>
      <c r="E2" s="14"/>
      <c r="F2" s="15" t="s">
        <v>99</v>
      </c>
    </row>
    <row r="3" spans="1:7" x14ac:dyDescent="0.3">
      <c r="A3" s="16">
        <v>2021</v>
      </c>
      <c r="B3" s="17" t="s">
        <v>40</v>
      </c>
      <c r="C3" s="17" t="s">
        <v>47</v>
      </c>
      <c r="D3" s="17" t="s">
        <v>81</v>
      </c>
      <c r="E3" s="14"/>
      <c r="F3" s="18"/>
    </row>
    <row r="7" spans="1:7" x14ac:dyDescent="0.3">
      <c r="A7" t="s">
        <v>80</v>
      </c>
      <c r="B7" t="s">
        <v>81</v>
      </c>
      <c r="C7" t="s">
        <v>82</v>
      </c>
      <c r="D7" t="s">
        <v>83</v>
      </c>
      <c r="E7" t="s">
        <v>84</v>
      </c>
      <c r="F7" t="s">
        <v>85</v>
      </c>
      <c r="G7" t="s">
        <v>86</v>
      </c>
    </row>
    <row r="8" spans="1:7" x14ac:dyDescent="0.3">
      <c r="A8" t="s">
        <v>42</v>
      </c>
      <c r="B8" s="23">
        <v>0.5</v>
      </c>
      <c r="C8" s="23">
        <v>0.5</v>
      </c>
    </row>
    <row r="9" spans="1:7" x14ac:dyDescent="0.3">
      <c r="A9" t="s">
        <v>43</v>
      </c>
      <c r="B9" s="23">
        <v>0.45</v>
      </c>
      <c r="C9" s="23">
        <v>0.45</v>
      </c>
      <c r="D9" s="23">
        <v>0.05</v>
      </c>
      <c r="E9" s="23">
        <v>0.05</v>
      </c>
    </row>
    <row r="10" spans="1:7" x14ac:dyDescent="0.3">
      <c r="A10" t="s">
        <v>44</v>
      </c>
      <c r="B10" s="23">
        <v>0.05</v>
      </c>
      <c r="C10" s="23">
        <v>0.05</v>
      </c>
      <c r="D10" s="23">
        <v>0.4</v>
      </c>
      <c r="E10" s="23">
        <v>0.4</v>
      </c>
      <c r="F10" s="23">
        <v>0.05</v>
      </c>
      <c r="G10" s="23">
        <v>0.05</v>
      </c>
    </row>
    <row r="11" spans="1:7" x14ac:dyDescent="0.3">
      <c r="A11" t="s">
        <v>45</v>
      </c>
      <c r="D11" s="23">
        <v>0.3</v>
      </c>
      <c r="E11" s="23">
        <v>0.3</v>
      </c>
      <c r="F11" s="23">
        <v>0.2</v>
      </c>
      <c r="G11" s="23">
        <v>0.2</v>
      </c>
    </row>
    <row r="12" spans="1:7" x14ac:dyDescent="0.3">
      <c r="A12" t="s">
        <v>46</v>
      </c>
      <c r="F12" s="23">
        <v>0.5</v>
      </c>
      <c r="G12" s="23">
        <v>0.5</v>
      </c>
    </row>
    <row r="13" spans="1:7" x14ac:dyDescent="0.3">
      <c r="D13" s="23"/>
      <c r="E13" s="23"/>
      <c r="F13" s="23"/>
    </row>
    <row r="14" spans="1:7" x14ac:dyDescent="0.3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 t="s">
        <v>93</v>
      </c>
    </row>
    <row r="15" spans="1:7" x14ac:dyDescent="0.3">
      <c r="A15" t="s">
        <v>42</v>
      </c>
      <c r="B15" s="23">
        <v>0.5</v>
      </c>
      <c r="C15" s="23">
        <v>0.5</v>
      </c>
    </row>
    <row r="16" spans="1:7" x14ac:dyDescent="0.3">
      <c r="A16" t="s">
        <v>43</v>
      </c>
      <c r="B16" s="23">
        <v>0.45</v>
      </c>
      <c r="C16" s="23">
        <v>0.45</v>
      </c>
      <c r="D16" s="23">
        <v>0.05</v>
      </c>
      <c r="E16" s="23">
        <v>0.05</v>
      </c>
    </row>
    <row r="17" spans="1:7" x14ac:dyDescent="0.3">
      <c r="A17" t="s">
        <v>44</v>
      </c>
      <c r="B17" s="23">
        <v>0.05</v>
      </c>
      <c r="C17" s="23">
        <v>0.05</v>
      </c>
      <c r="D17" s="23">
        <v>0.4</v>
      </c>
      <c r="E17" s="23">
        <v>0.4</v>
      </c>
      <c r="F17" s="23">
        <v>0.05</v>
      </c>
      <c r="G17" s="23">
        <v>0.05</v>
      </c>
    </row>
    <row r="18" spans="1:7" x14ac:dyDescent="0.3">
      <c r="A18" t="s">
        <v>45</v>
      </c>
      <c r="D18" s="23">
        <v>0.3</v>
      </c>
      <c r="E18" s="23">
        <v>0.3</v>
      </c>
      <c r="F18" s="23">
        <v>0.2</v>
      </c>
      <c r="G18" s="23">
        <v>0.2</v>
      </c>
    </row>
    <row r="19" spans="1:7" x14ac:dyDescent="0.3">
      <c r="A19" t="s">
        <v>46</v>
      </c>
      <c r="F19" s="23">
        <v>0.5</v>
      </c>
      <c r="G19" s="23">
        <v>0.5</v>
      </c>
    </row>
    <row r="24" spans="1:7" x14ac:dyDescent="0.3">
      <c r="A24" t="s">
        <v>94</v>
      </c>
      <c r="B24" t="s">
        <v>95</v>
      </c>
      <c r="C24" t="s">
        <v>96</v>
      </c>
      <c r="D24" t="s">
        <v>97</v>
      </c>
      <c r="E24" s="24" t="s">
        <v>98</v>
      </c>
    </row>
    <row r="25" spans="1:7" x14ac:dyDescent="0.3">
      <c r="A25" t="s">
        <v>81</v>
      </c>
      <c r="B25" s="7">
        <v>171.48</v>
      </c>
      <c r="C25" s="7">
        <f t="shared" ref="C25:C30" si="0">B25/D25</f>
        <v>171.48</v>
      </c>
      <c r="D25">
        <v>1</v>
      </c>
      <c r="E25" s="25">
        <f t="shared" ref="E25:E30" si="1">B25*0.8</f>
        <v>137.184</v>
      </c>
    </row>
    <row r="26" spans="1:7" x14ac:dyDescent="0.3">
      <c r="A26" t="s">
        <v>82</v>
      </c>
      <c r="B26" s="7">
        <v>171.48</v>
      </c>
      <c r="C26" s="7">
        <f t="shared" si="0"/>
        <v>85.74</v>
      </c>
      <c r="D26">
        <v>2</v>
      </c>
      <c r="E26" s="25">
        <f t="shared" si="1"/>
        <v>137.184</v>
      </c>
    </row>
    <row r="27" spans="1:7" x14ac:dyDescent="0.3">
      <c r="A27" t="s">
        <v>83</v>
      </c>
      <c r="B27" s="7">
        <v>445.06</v>
      </c>
      <c r="C27" s="7">
        <f t="shared" si="0"/>
        <v>222.53</v>
      </c>
      <c r="D27">
        <v>2</v>
      </c>
      <c r="E27" s="25">
        <f t="shared" si="1"/>
        <v>356.048</v>
      </c>
    </row>
    <row r="28" spans="1:7" x14ac:dyDescent="0.3">
      <c r="A28" t="s">
        <v>84</v>
      </c>
      <c r="B28" s="7">
        <v>445.06</v>
      </c>
      <c r="C28" s="7">
        <f t="shared" si="0"/>
        <v>148.35333333333332</v>
      </c>
      <c r="D28">
        <v>3</v>
      </c>
      <c r="E28" s="25">
        <f t="shared" si="1"/>
        <v>356.048</v>
      </c>
    </row>
    <row r="29" spans="1:7" x14ac:dyDescent="0.3">
      <c r="A29" t="s">
        <v>85</v>
      </c>
      <c r="B29" s="7">
        <v>1469.75</v>
      </c>
      <c r="C29" s="7">
        <f t="shared" si="0"/>
        <v>367.4375</v>
      </c>
      <c r="D29">
        <v>4</v>
      </c>
      <c r="E29" s="25">
        <f t="shared" si="1"/>
        <v>1175.8</v>
      </c>
    </row>
    <row r="30" spans="1:7" x14ac:dyDescent="0.3">
      <c r="A30" t="s">
        <v>86</v>
      </c>
      <c r="B30" s="7">
        <v>1469.75</v>
      </c>
      <c r="C30" s="7">
        <f t="shared" si="0"/>
        <v>244.95833333333334</v>
      </c>
      <c r="D30">
        <v>6</v>
      </c>
      <c r="E30" s="25">
        <f t="shared" si="1"/>
        <v>1175.8</v>
      </c>
    </row>
    <row r="33" spans="1:5" x14ac:dyDescent="0.3">
      <c r="A33" t="s">
        <v>94</v>
      </c>
      <c r="B33" t="s">
        <v>95</v>
      </c>
      <c r="C33" t="s">
        <v>96</v>
      </c>
      <c r="D33" t="s">
        <v>97</v>
      </c>
      <c r="E33" s="24" t="s">
        <v>98</v>
      </c>
    </row>
    <row r="34" spans="1:5" x14ac:dyDescent="0.3">
      <c r="A34" t="s">
        <v>88</v>
      </c>
      <c r="B34" s="7">
        <v>171.48</v>
      </c>
      <c r="C34" s="7">
        <f t="shared" ref="C34:C39" si="2">B34/D34</f>
        <v>171.48</v>
      </c>
      <c r="D34">
        <v>1</v>
      </c>
      <c r="E34" s="25">
        <f t="shared" ref="E34:E39" si="3">B34*0.8</f>
        <v>137.184</v>
      </c>
    </row>
    <row r="35" spans="1:5" x14ac:dyDescent="0.3">
      <c r="A35" t="s">
        <v>89</v>
      </c>
      <c r="B35" s="7">
        <v>171.48</v>
      </c>
      <c r="C35" s="7">
        <f t="shared" si="2"/>
        <v>85.74</v>
      </c>
      <c r="D35">
        <v>2</v>
      </c>
      <c r="E35" s="25">
        <f t="shared" si="3"/>
        <v>137.184</v>
      </c>
    </row>
    <row r="36" spans="1:5" x14ac:dyDescent="0.3">
      <c r="A36" t="s">
        <v>90</v>
      </c>
      <c r="B36" s="7">
        <v>445.06</v>
      </c>
      <c r="C36" s="7">
        <f t="shared" si="2"/>
        <v>222.53</v>
      </c>
      <c r="D36">
        <v>2</v>
      </c>
      <c r="E36" s="25">
        <f t="shared" si="3"/>
        <v>356.048</v>
      </c>
    </row>
    <row r="37" spans="1:5" x14ac:dyDescent="0.3">
      <c r="A37" t="s">
        <v>91</v>
      </c>
      <c r="B37" s="7">
        <v>445.06</v>
      </c>
      <c r="C37" s="7">
        <f t="shared" si="2"/>
        <v>148.35333333333332</v>
      </c>
      <c r="D37">
        <v>3</v>
      </c>
      <c r="E37" s="25">
        <f t="shared" si="3"/>
        <v>356.048</v>
      </c>
    </row>
    <row r="38" spans="1:5" x14ac:dyDescent="0.3">
      <c r="A38" t="s">
        <v>92</v>
      </c>
      <c r="B38" s="7">
        <v>1469.75</v>
      </c>
      <c r="C38" s="7">
        <f t="shared" si="2"/>
        <v>367.4375</v>
      </c>
      <c r="D38">
        <v>4</v>
      </c>
      <c r="E38" s="25">
        <f t="shared" si="3"/>
        <v>1175.8</v>
      </c>
    </row>
    <row r="39" spans="1:5" x14ac:dyDescent="0.3">
      <c r="A39" t="s">
        <v>93</v>
      </c>
      <c r="B39" s="7">
        <v>1469.75</v>
      </c>
      <c r="C39" s="7">
        <f t="shared" si="2"/>
        <v>244.95833333333334</v>
      </c>
      <c r="D39">
        <v>6</v>
      </c>
      <c r="E39" s="25">
        <f t="shared" si="3"/>
        <v>1175.8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CA672-AA0C-4B46-BD04-3BA0945073F5}">
  <dimension ref="A1:F9"/>
  <sheetViews>
    <sheetView workbookViewId="0">
      <selection activeCell="D12" sqref="D12"/>
    </sheetView>
  </sheetViews>
  <sheetFormatPr baseColWidth="10" defaultRowHeight="14.4" x14ac:dyDescent="0.3"/>
  <cols>
    <col min="1" max="1" width="5" bestFit="1" customWidth="1"/>
    <col min="2" max="2" width="35.77734375" bestFit="1" customWidth="1"/>
    <col min="3" max="3" width="51.21875" bestFit="1" customWidth="1"/>
    <col min="4" max="4" width="32.5546875" customWidth="1"/>
    <col min="5" max="5" width="52.88671875" bestFit="1" customWidth="1"/>
    <col min="6" max="6" width="12" bestFit="1" customWidth="1"/>
    <col min="7" max="7" width="17.44140625" bestFit="1" customWidth="1"/>
    <col min="9" max="9" width="12" bestFit="1" customWidth="1"/>
  </cols>
  <sheetData>
    <row r="1" spans="1:6" x14ac:dyDescent="0.3">
      <c r="A1" s="10" t="s">
        <v>36</v>
      </c>
      <c r="B1" s="19" t="s">
        <v>37</v>
      </c>
      <c r="C1" s="19" t="s">
        <v>38</v>
      </c>
      <c r="D1" s="19" t="s">
        <v>67</v>
      </c>
      <c r="E1" s="12" t="s">
        <v>71</v>
      </c>
      <c r="F1" s="12" t="s">
        <v>72</v>
      </c>
    </row>
    <row r="2" spans="1:6" x14ac:dyDescent="0.3">
      <c r="A2">
        <v>2021</v>
      </c>
      <c r="B2" s="14" t="s">
        <v>40</v>
      </c>
      <c r="C2" s="20" t="s">
        <v>47</v>
      </c>
      <c r="D2" s="22"/>
      <c r="E2" t="s">
        <v>57</v>
      </c>
      <c r="F2">
        <v>17037388726.277775</v>
      </c>
    </row>
    <row r="3" spans="1:6" x14ac:dyDescent="0.3">
      <c r="A3">
        <v>2021</v>
      </c>
      <c r="B3" s="14" t="s">
        <v>40</v>
      </c>
      <c r="C3" s="20" t="s">
        <v>47</v>
      </c>
      <c r="D3" s="22"/>
      <c r="E3" t="s">
        <v>58</v>
      </c>
      <c r="F3">
        <v>19720127178.555553</v>
      </c>
    </row>
    <row r="4" spans="1:6" x14ac:dyDescent="0.3">
      <c r="A4">
        <v>2021</v>
      </c>
      <c r="B4" s="14" t="s">
        <v>40</v>
      </c>
      <c r="C4" s="20" t="s">
        <v>47</v>
      </c>
      <c r="D4" s="22"/>
      <c r="E4" t="s">
        <v>59</v>
      </c>
      <c r="F4">
        <v>9715263599.0555553</v>
      </c>
    </row>
    <row r="5" spans="1:6" x14ac:dyDescent="0.3">
      <c r="A5">
        <v>2021</v>
      </c>
      <c r="B5" s="14" t="s">
        <v>40</v>
      </c>
      <c r="C5" s="20" t="s">
        <v>47</v>
      </c>
      <c r="D5" s="22"/>
      <c r="E5" t="s">
        <v>66</v>
      </c>
      <c r="F5">
        <v>10854992261.361111</v>
      </c>
    </row>
    <row r="6" spans="1:6" x14ac:dyDescent="0.3">
      <c r="A6">
        <v>2021</v>
      </c>
      <c r="B6" s="14" t="s">
        <v>40</v>
      </c>
      <c r="C6" s="20" t="s">
        <v>47</v>
      </c>
      <c r="D6" s="22" t="s">
        <v>74</v>
      </c>
      <c r="E6" t="s">
        <v>65</v>
      </c>
      <c r="F6">
        <v>3566547507.546</v>
      </c>
    </row>
    <row r="7" spans="1:6" x14ac:dyDescent="0.3">
      <c r="A7">
        <v>2021</v>
      </c>
      <c r="B7" s="14" t="s">
        <v>40</v>
      </c>
      <c r="C7" s="20" t="s">
        <v>47</v>
      </c>
      <c r="D7" s="22" t="s">
        <v>68</v>
      </c>
      <c r="E7" t="s">
        <v>65</v>
      </c>
      <c r="F7">
        <v>2204916009.7265997</v>
      </c>
    </row>
    <row r="8" spans="1:6" x14ac:dyDescent="0.3">
      <c r="A8">
        <v>2021</v>
      </c>
      <c r="B8" s="14" t="s">
        <v>40</v>
      </c>
      <c r="C8" s="20" t="s">
        <v>47</v>
      </c>
      <c r="E8" t="s">
        <v>69</v>
      </c>
      <c r="F8">
        <v>10738893636.889198</v>
      </c>
    </row>
    <row r="9" spans="1:6" x14ac:dyDescent="0.3">
      <c r="A9">
        <v>2021</v>
      </c>
      <c r="B9" s="14" t="s">
        <v>40</v>
      </c>
      <c r="C9" s="20" t="s">
        <v>47</v>
      </c>
      <c r="E9" t="s">
        <v>70</v>
      </c>
      <c r="F9">
        <v>51983753047.588799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3A3-45DD-418D-B3A7-9477C1DEB815}">
  <dimension ref="A1:G6"/>
  <sheetViews>
    <sheetView workbookViewId="0">
      <selection activeCell="F14" sqref="F14"/>
    </sheetView>
  </sheetViews>
  <sheetFormatPr baseColWidth="10" defaultRowHeight="14.4" x14ac:dyDescent="0.3"/>
  <cols>
    <col min="1" max="1" width="5" bestFit="1" customWidth="1"/>
    <col min="2" max="2" width="35.77734375" bestFit="1" customWidth="1"/>
    <col min="3" max="3" width="51.21875" bestFit="1" customWidth="1"/>
    <col min="4" max="4" width="14.6640625" bestFit="1" customWidth="1"/>
    <col min="5" max="5" width="21.33203125" bestFit="1" customWidth="1"/>
    <col min="6" max="7" width="14.109375" bestFit="1" customWidth="1"/>
  </cols>
  <sheetData>
    <row r="1" spans="1:7" x14ac:dyDescent="0.3">
      <c r="A1" s="10" t="s">
        <v>36</v>
      </c>
      <c r="B1" s="11" t="s">
        <v>37</v>
      </c>
      <c r="C1" s="11" t="s">
        <v>38</v>
      </c>
      <c r="D1" s="11" t="s">
        <v>60</v>
      </c>
      <c r="E1" s="21" t="s">
        <v>23</v>
      </c>
      <c r="F1" s="21" t="s">
        <v>71</v>
      </c>
      <c r="G1" s="12" t="s">
        <v>73</v>
      </c>
    </row>
    <row r="2" spans="1:7" x14ac:dyDescent="0.3">
      <c r="A2" s="13">
        <v>2021</v>
      </c>
      <c r="B2" s="14" t="s">
        <v>40</v>
      </c>
      <c r="C2" s="14" t="s">
        <v>47</v>
      </c>
      <c r="D2" s="14"/>
      <c r="E2">
        <v>1</v>
      </c>
      <c r="F2" s="12"/>
      <c r="G2" s="15">
        <v>170913896.67000002</v>
      </c>
    </row>
    <row r="3" spans="1:7" x14ac:dyDescent="0.3">
      <c r="A3" s="13">
        <v>2021</v>
      </c>
      <c r="B3" s="14" t="s">
        <v>40</v>
      </c>
      <c r="C3" s="14" t="s">
        <v>47</v>
      </c>
      <c r="D3" t="s">
        <v>61</v>
      </c>
      <c r="E3">
        <v>1</v>
      </c>
      <c r="F3" s="12"/>
      <c r="G3" s="15">
        <v>15382250.700300001</v>
      </c>
    </row>
    <row r="4" spans="1:7" x14ac:dyDescent="0.3">
      <c r="A4" s="13">
        <v>2021</v>
      </c>
      <c r="B4" s="14" t="s">
        <v>40</v>
      </c>
      <c r="C4" s="14" t="s">
        <v>47</v>
      </c>
      <c r="D4" t="s">
        <v>62</v>
      </c>
      <c r="E4">
        <v>1</v>
      </c>
      <c r="F4" s="12"/>
      <c r="G4">
        <v>140149395.2694</v>
      </c>
    </row>
    <row r="5" spans="1:7" x14ac:dyDescent="0.3">
      <c r="A5" s="13">
        <v>2021</v>
      </c>
      <c r="B5" s="14" t="s">
        <v>40</v>
      </c>
      <c r="C5" s="14" t="s">
        <v>47</v>
      </c>
      <c r="D5" t="s">
        <v>63</v>
      </c>
      <c r="E5">
        <v>1</v>
      </c>
      <c r="F5" s="12"/>
      <c r="G5">
        <v>11963972.766900003</v>
      </c>
    </row>
    <row r="6" spans="1:7" x14ac:dyDescent="0.3">
      <c r="A6" s="13">
        <v>2021</v>
      </c>
      <c r="B6" s="14" t="s">
        <v>40</v>
      </c>
      <c r="C6" s="14" t="s">
        <v>47</v>
      </c>
      <c r="D6" t="s">
        <v>64</v>
      </c>
      <c r="E6">
        <v>1</v>
      </c>
      <c r="F6" s="12"/>
      <c r="G6">
        <v>1709138.9667000002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6771D67E9AD9A479B2DB2075AB77E1A" ma:contentTypeVersion="16" ma:contentTypeDescription="Ein neues Dokument erstellen." ma:contentTypeScope="" ma:versionID="41a1a0edc924dd6ac7ec2eadc95eb735">
  <xsd:schema xmlns:xsd="http://www.w3.org/2001/XMLSchema" xmlns:xs="http://www.w3.org/2001/XMLSchema" xmlns:p="http://schemas.microsoft.com/office/2006/metadata/properties" xmlns:ns2="a6b62d7a-dd09-46e4-b53c-18efd117aad1" xmlns:ns3="af56a8d8-8409-452c-af23-431516952e37" targetNamespace="http://schemas.microsoft.com/office/2006/metadata/properties" ma:root="true" ma:fieldsID="60f56773215438a58a33db1de9fa6f09" ns2:_="" ns3:_="">
    <xsd:import namespace="a6b62d7a-dd09-46e4-b53c-18efd117aad1"/>
    <xsd:import namespace="af56a8d8-8409-452c-af23-431516952e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62d7a-dd09-46e4-b53c-18efd117aa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Bildmarkierungen" ma:readOnly="false" ma:fieldId="{5cf76f15-5ced-4ddc-b409-7134ff3c332f}" ma:taxonomyMulti="true" ma:sspId="e635386d-4e9f-4f60-8e77-bf8228f41c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6a8d8-8409-452c-af23-431516952e3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8958c5b-70da-488d-893d-584e409d922e}" ma:internalName="TaxCatchAll" ma:showField="CatchAllData" ma:web="af56a8d8-8409-452c-af23-431516952e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6b62d7a-dd09-46e4-b53c-18efd117aad1">
      <Terms xmlns="http://schemas.microsoft.com/office/infopath/2007/PartnerControls"/>
    </lcf76f155ced4ddcb4097134ff3c332f>
    <TaxCatchAll xmlns="af56a8d8-8409-452c-af23-431516952e37" xsi:nil="true"/>
  </documentManagement>
</p:properties>
</file>

<file path=customXml/itemProps1.xml><?xml version="1.0" encoding="utf-8"?>
<ds:datastoreItem xmlns:ds="http://schemas.openxmlformats.org/officeDocument/2006/customXml" ds:itemID="{EE4545FF-2F1A-440E-95B5-4DF57A426D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CFAE8B-BAA0-4D67-845E-09924AAEEC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b62d7a-dd09-46e4-b53c-18efd117aad1"/>
    <ds:schemaRef ds:uri="af56a8d8-8409-452c-af23-431516952e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F3102A-B332-4634-8FDA-ADB34DC38FB0}">
  <ds:schemaRefs>
    <ds:schemaRef ds:uri="http://schemas.microsoft.com/office/2006/metadata/properties"/>
    <ds:schemaRef ds:uri="http://schemas.microsoft.com/office/infopath/2007/PartnerControls"/>
    <ds:schemaRef ds:uri="a6b62d7a-dd09-46e4-b53c-18efd117aad1"/>
    <ds:schemaRef ds:uri="af56a8d8-8409-452c-af23-431516952e3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constraints</vt:lpstr>
      <vt:lpstr>NGF_simplified</vt:lpstr>
      <vt:lpstr>NGF</vt:lpstr>
      <vt:lpstr>geometry</vt:lpstr>
      <vt:lpstr>EE</vt:lpstr>
      <vt:lpstr>renovation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Drexel</dc:creator>
  <cp:lastModifiedBy>Raphael Drexel</cp:lastModifiedBy>
  <dcterms:created xsi:type="dcterms:W3CDTF">2026-04-17T12:29:21Z</dcterms:created>
  <dcterms:modified xsi:type="dcterms:W3CDTF">2026-05-20T13:31:50Z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0x01010056771D67E9AD9A479B2DB2075AB77E1A</vt:lpwstr>
  </property>
</Properties>
</file>