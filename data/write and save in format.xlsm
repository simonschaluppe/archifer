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0026.NB-MA0026\Documents\CEA_Projekte\Klimagemeinschaften_KEM-Gem\database_adaptiert\"/>
    </mc:Choice>
  </mc:AlternateContent>
  <xr:revisionPtr revIDLastSave="0" documentId="13_ncr:1_{AE66F511-C3F6-4F49-8926-F3D49ABEB8A7}" xr6:coauthVersionLast="47" xr6:coauthVersionMax="47" xr10:uidLastSave="{00000000-0000-0000-0000-000000000000}"/>
  <bookViews>
    <workbookView xWindow="-18744" yWindow="-17388" windowWidth="30936" windowHeight="16776" tabRatio="711" xr2:uid="{BF9705EB-F586-42E0-A7DE-7695597F65D0}"/>
  </bookViews>
  <sheets>
    <sheet name="Tabelle2" sheetId="5" r:id="rId1"/>
    <sheet name="WWR" sheetId="28" r:id="rId2"/>
    <sheet name="CONSTRUCTION_TYPES" sheetId="4" r:id="rId3"/>
    <sheet name="ENVELOPE_FLOOR" sheetId="6" r:id="rId4"/>
    <sheet name="ENVELOPE_MASS" sheetId="7" r:id="rId5"/>
    <sheet name="ENVELOPE_ROOF" sheetId="8" r:id="rId6"/>
    <sheet name="ENVELOPE_SHADING" sheetId="11" r:id="rId7"/>
    <sheet name="ENVELOPE_TIGHTNESS" sheetId="12" r:id="rId8"/>
    <sheet name="ENVELOPE_WALL" sheetId="13" r:id="rId9"/>
    <sheet name="ENVELOPE_WINDOW" sheetId="15" r:id="rId10"/>
    <sheet name="HVAC_HEATING" sheetId="18" r:id="rId11"/>
    <sheet name="HVAC_COOLING" sheetId="17" r:id="rId12"/>
    <sheet name="HVAC_HOTWATER" sheetId="19" r:id="rId13"/>
    <sheet name="HVAC_CONTROLLER" sheetId="16" r:id="rId14"/>
    <sheet name="HVAC_VENTILATION" sheetId="20" r:id="rId15"/>
    <sheet name="SUPPLY_COOLING" sheetId="21" r:id="rId16"/>
    <sheet name="SUPPLY_ELECTRICITY" sheetId="22" r:id="rId17"/>
    <sheet name="SUPPLY_HEATING" sheetId="23" r:id="rId18"/>
    <sheet name="SUPPLY_HOTWATER" sheetId="24" r:id="rId19"/>
    <sheet name="ENERGY_CARRIERS" sheetId="25" r:id="rId20"/>
    <sheet name="GRID" sheetId="27" r:id="rId21"/>
    <sheet name="GRID_AT" sheetId="31" r:id="rId22"/>
    <sheet name="Port" sheetId="3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4" i="5" l="1"/>
  <c r="U113" i="5"/>
  <c r="U112" i="5"/>
  <c r="U109" i="5"/>
  <c r="U106" i="5"/>
  <c r="U103" i="5"/>
  <c r="U100" i="5"/>
  <c r="U97" i="5"/>
  <c r="U85" i="5"/>
  <c r="U84" i="5"/>
  <c r="U81" i="5"/>
  <c r="U78" i="5"/>
  <c r="U75" i="5"/>
  <c r="U72" i="5"/>
  <c r="U69" i="5"/>
  <c r="U66" i="5"/>
  <c r="U57" i="5"/>
  <c r="U56" i="5"/>
  <c r="U53" i="5"/>
  <c r="U50" i="5"/>
  <c r="U47" i="5"/>
  <c r="U44" i="5"/>
  <c r="U41" i="5"/>
  <c r="U38" i="5"/>
  <c r="U29" i="5"/>
  <c r="U28" i="5"/>
  <c r="U25" i="5"/>
  <c r="U22" i="5"/>
  <c r="U19" i="5"/>
  <c r="U16" i="5"/>
  <c r="U13" i="5"/>
  <c r="U10" i="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13" i="15"/>
  <c r="Z111" i="5" l="1"/>
  <c r="Y111" i="5"/>
  <c r="X111" i="5"/>
  <c r="W111" i="5"/>
  <c r="Z110" i="5"/>
  <c r="Y110" i="5"/>
  <c r="X110" i="5"/>
  <c r="W110" i="5"/>
  <c r="Z108" i="5"/>
  <c r="Y108" i="5"/>
  <c r="X108" i="5"/>
  <c r="W108" i="5"/>
  <c r="Z107" i="5"/>
  <c r="Y107" i="5"/>
  <c r="X107" i="5"/>
  <c r="W107" i="5"/>
  <c r="Z105" i="5"/>
  <c r="Y105" i="5"/>
  <c r="X105" i="5"/>
  <c r="W105" i="5"/>
  <c r="Z104" i="5"/>
  <c r="Y104" i="5"/>
  <c r="X104" i="5"/>
  <c r="W104" i="5"/>
  <c r="Z102" i="5"/>
  <c r="Y102" i="5"/>
  <c r="X102" i="5"/>
  <c r="W102" i="5"/>
  <c r="Z101" i="5"/>
  <c r="Y101" i="5"/>
  <c r="X101" i="5"/>
  <c r="W101" i="5"/>
  <c r="Z99" i="5"/>
  <c r="Y99" i="5"/>
  <c r="X99" i="5"/>
  <c r="W99" i="5"/>
  <c r="Z98" i="5"/>
  <c r="Y98" i="5"/>
  <c r="X98" i="5"/>
  <c r="W98" i="5"/>
  <c r="Z96" i="5"/>
  <c r="Y96" i="5"/>
  <c r="X96" i="5"/>
  <c r="W96" i="5"/>
  <c r="Z95" i="5"/>
  <c r="Y95" i="5"/>
  <c r="X95" i="5"/>
  <c r="W95" i="5"/>
  <c r="Z93" i="5"/>
  <c r="Y93" i="5"/>
  <c r="X93" i="5"/>
  <c r="W93" i="5"/>
  <c r="Z92" i="5"/>
  <c r="Y92" i="5"/>
  <c r="X92" i="5"/>
  <c r="W92" i="5"/>
  <c r="Z91" i="5"/>
  <c r="Y91" i="5"/>
  <c r="X91" i="5"/>
  <c r="W91" i="5"/>
  <c r="Z90" i="5"/>
  <c r="Y90" i="5"/>
  <c r="X90" i="5"/>
  <c r="W90" i="5"/>
  <c r="Z89" i="5"/>
  <c r="Y89" i="5"/>
  <c r="X89" i="5"/>
  <c r="W89" i="5"/>
  <c r="Z88" i="5"/>
  <c r="Y88" i="5"/>
  <c r="X88" i="5"/>
  <c r="W88" i="5"/>
  <c r="Z87" i="5"/>
  <c r="Y87" i="5"/>
  <c r="X87" i="5"/>
  <c r="W87" i="5"/>
  <c r="Z86" i="5"/>
  <c r="Y86" i="5"/>
  <c r="X86" i="5"/>
  <c r="W86" i="5"/>
  <c r="Z83" i="5"/>
  <c r="Y83" i="5"/>
  <c r="X83" i="5"/>
  <c r="W83" i="5"/>
  <c r="Z82" i="5"/>
  <c r="Y82" i="5"/>
  <c r="X82" i="5"/>
  <c r="W82" i="5"/>
  <c r="Z80" i="5"/>
  <c r="Y80" i="5"/>
  <c r="X80" i="5"/>
  <c r="W80" i="5"/>
  <c r="Z79" i="5"/>
  <c r="Y79" i="5"/>
  <c r="X79" i="5"/>
  <c r="W79" i="5"/>
  <c r="Z77" i="5"/>
  <c r="Y77" i="5"/>
  <c r="X77" i="5"/>
  <c r="W77" i="5"/>
  <c r="Z76" i="5"/>
  <c r="Y76" i="5"/>
  <c r="X76" i="5"/>
  <c r="W76" i="5"/>
  <c r="Z74" i="5"/>
  <c r="Y74" i="5"/>
  <c r="X74" i="5"/>
  <c r="W74" i="5"/>
  <c r="Z73" i="5"/>
  <c r="Y73" i="5"/>
  <c r="X73" i="5"/>
  <c r="W73" i="5"/>
  <c r="Z71" i="5"/>
  <c r="Y71" i="5"/>
  <c r="X71" i="5"/>
  <c r="W71" i="5"/>
  <c r="Z70" i="5"/>
  <c r="Y70" i="5"/>
  <c r="X70" i="5"/>
  <c r="W70" i="5"/>
  <c r="Z68" i="5"/>
  <c r="Y68" i="5"/>
  <c r="X68" i="5"/>
  <c r="W68" i="5"/>
  <c r="Z67" i="5"/>
  <c r="Y67" i="5"/>
  <c r="X67" i="5"/>
  <c r="W67" i="5"/>
  <c r="Z65" i="5"/>
  <c r="Y65" i="5"/>
  <c r="X65" i="5"/>
  <c r="W65" i="5"/>
  <c r="Z64" i="5"/>
  <c r="Y64" i="5"/>
  <c r="X64" i="5"/>
  <c r="W64" i="5"/>
  <c r="Z63" i="5"/>
  <c r="Y63" i="5"/>
  <c r="X63" i="5"/>
  <c r="W63" i="5"/>
  <c r="Z62" i="5"/>
  <c r="Y62" i="5"/>
  <c r="X62" i="5"/>
  <c r="W62" i="5"/>
  <c r="Z61" i="5"/>
  <c r="Y61" i="5"/>
  <c r="X61" i="5"/>
  <c r="W61" i="5"/>
  <c r="Z60" i="5"/>
  <c r="Y60" i="5"/>
  <c r="X60" i="5"/>
  <c r="W60" i="5"/>
  <c r="Z59" i="5"/>
  <c r="Y59" i="5"/>
  <c r="X59" i="5"/>
  <c r="W59" i="5"/>
  <c r="Z58" i="5"/>
  <c r="Y58" i="5"/>
  <c r="X58" i="5"/>
  <c r="W58" i="5"/>
  <c r="Z55" i="5"/>
  <c r="Y55" i="5"/>
  <c r="X55" i="5"/>
  <c r="W55" i="5"/>
  <c r="Z54" i="5"/>
  <c r="Y54" i="5"/>
  <c r="X54" i="5"/>
  <c r="W54" i="5"/>
  <c r="Z52" i="5"/>
  <c r="Y52" i="5"/>
  <c r="X52" i="5"/>
  <c r="W52" i="5"/>
  <c r="Z51" i="5"/>
  <c r="Y51" i="5"/>
  <c r="X51" i="5"/>
  <c r="W51" i="5"/>
  <c r="Z49" i="5"/>
  <c r="Y49" i="5"/>
  <c r="X49" i="5"/>
  <c r="W49" i="5"/>
  <c r="Z48" i="5"/>
  <c r="Y48" i="5"/>
  <c r="X48" i="5"/>
  <c r="W48" i="5"/>
  <c r="Z46" i="5"/>
  <c r="Y46" i="5"/>
  <c r="X46" i="5"/>
  <c r="W46" i="5"/>
  <c r="Z45" i="5"/>
  <c r="Y45" i="5"/>
  <c r="X45" i="5"/>
  <c r="W45" i="5"/>
  <c r="Z43" i="5"/>
  <c r="Y43" i="5"/>
  <c r="X43" i="5"/>
  <c r="W43" i="5"/>
  <c r="Z42" i="5"/>
  <c r="Y42" i="5"/>
  <c r="X42" i="5"/>
  <c r="W42" i="5"/>
  <c r="Z40" i="5"/>
  <c r="Y40" i="5"/>
  <c r="X40" i="5"/>
  <c r="W40" i="5"/>
  <c r="Z39" i="5"/>
  <c r="Y39" i="5"/>
  <c r="X39" i="5"/>
  <c r="W39" i="5"/>
  <c r="Z37" i="5"/>
  <c r="Y37" i="5"/>
  <c r="X37" i="5"/>
  <c r="W37" i="5"/>
  <c r="Z36" i="5"/>
  <c r="Y36" i="5"/>
  <c r="X36" i="5"/>
  <c r="W36" i="5"/>
  <c r="Z35" i="5"/>
  <c r="Y35" i="5"/>
  <c r="X35" i="5"/>
  <c r="W35" i="5"/>
  <c r="Z34" i="5"/>
  <c r="Y34" i="5"/>
  <c r="X34" i="5"/>
  <c r="W34" i="5"/>
  <c r="Z33" i="5"/>
  <c r="Y33" i="5"/>
  <c r="X33" i="5"/>
  <c r="W33" i="5"/>
  <c r="Z32" i="5"/>
  <c r="Y32" i="5"/>
  <c r="X32" i="5"/>
  <c r="W32" i="5"/>
  <c r="Z31" i="5"/>
  <c r="Y31" i="5"/>
  <c r="X31" i="5"/>
  <c r="W31" i="5"/>
  <c r="Z30" i="5"/>
  <c r="Y30" i="5"/>
  <c r="X30" i="5"/>
  <c r="W30" i="5"/>
  <c r="Z27" i="5"/>
  <c r="Y27" i="5"/>
  <c r="X27" i="5"/>
  <c r="W27" i="5"/>
  <c r="Z26" i="5"/>
  <c r="Y26" i="5"/>
  <c r="X26" i="5"/>
  <c r="W26" i="5"/>
  <c r="Z24" i="5"/>
  <c r="Y24" i="5"/>
  <c r="X24" i="5"/>
  <c r="W24" i="5"/>
  <c r="Z23" i="5"/>
  <c r="Y23" i="5"/>
  <c r="X23" i="5"/>
  <c r="W23" i="5"/>
  <c r="Z21" i="5"/>
  <c r="Y21" i="5"/>
  <c r="X21" i="5"/>
  <c r="W21" i="5"/>
  <c r="Z20" i="5"/>
  <c r="Y20" i="5"/>
  <c r="X20" i="5"/>
  <c r="W20" i="5"/>
  <c r="Z18" i="5"/>
  <c r="Y18" i="5"/>
  <c r="X18" i="5"/>
  <c r="W18" i="5"/>
  <c r="Z17" i="5"/>
  <c r="Y17" i="5"/>
  <c r="X17" i="5"/>
  <c r="W17" i="5"/>
  <c r="Z15" i="5"/>
  <c r="Y15" i="5"/>
  <c r="X15" i="5"/>
  <c r="W15" i="5"/>
  <c r="Z14" i="5"/>
  <c r="Y14" i="5"/>
  <c r="X14" i="5"/>
  <c r="W14" i="5"/>
  <c r="Z12" i="5"/>
  <c r="Y12" i="5"/>
  <c r="X12" i="5"/>
  <c r="W12" i="5"/>
  <c r="Z11" i="5"/>
  <c r="Y11" i="5"/>
  <c r="X11" i="5"/>
  <c r="W11" i="5"/>
  <c r="J2" i="28" l="1"/>
  <c r="I2" i="28"/>
  <c r="H2" i="28"/>
  <c r="G2" i="28"/>
  <c r="G4" i="28"/>
  <c r="H4" i="28"/>
  <c r="I4" i="28"/>
  <c r="J4" i="28"/>
  <c r="G5" i="28"/>
  <c r="H5" i="28"/>
  <c r="I5" i="28"/>
  <c r="J5" i="28"/>
  <c r="G6" i="28"/>
  <c r="H6" i="28"/>
  <c r="I6" i="28"/>
  <c r="J6" i="28"/>
  <c r="G7" i="28"/>
  <c r="H7" i="28"/>
  <c r="I7" i="28"/>
  <c r="J7" i="28"/>
  <c r="G8" i="28"/>
  <c r="H8" i="28"/>
  <c r="I8" i="28"/>
  <c r="J8" i="28"/>
  <c r="G9" i="28"/>
  <c r="H9" i="28"/>
  <c r="I9" i="28"/>
  <c r="J9" i="28"/>
  <c r="G10" i="28"/>
  <c r="H10" i="28"/>
  <c r="I10" i="28"/>
  <c r="J10" i="28"/>
  <c r="G11" i="28"/>
  <c r="H11" i="28"/>
  <c r="I11" i="28"/>
  <c r="J11" i="28"/>
  <c r="G12" i="28"/>
  <c r="H12" i="28"/>
  <c r="I12" i="28"/>
  <c r="J12" i="28"/>
  <c r="G13" i="28"/>
  <c r="H13" i="28"/>
  <c r="I13" i="28"/>
  <c r="J13" i="28"/>
  <c r="G14" i="28"/>
  <c r="H14" i="28"/>
  <c r="I14" i="28"/>
  <c r="J14" i="28"/>
  <c r="G15" i="28"/>
  <c r="H15" i="28"/>
  <c r="I15" i="28"/>
  <c r="J15" i="28"/>
  <c r="G16" i="28"/>
  <c r="H16" i="28"/>
  <c r="I16" i="28"/>
  <c r="J16" i="28"/>
  <c r="G17" i="28"/>
  <c r="H17" i="28"/>
  <c r="I17" i="28"/>
  <c r="J17" i="28"/>
  <c r="G18" i="28"/>
  <c r="H18" i="28"/>
  <c r="I18" i="28"/>
  <c r="J18" i="28"/>
  <c r="G19" i="28"/>
  <c r="H19" i="28"/>
  <c r="I19" i="28"/>
  <c r="J19" i="28"/>
  <c r="G20" i="28"/>
  <c r="H20" i="28"/>
  <c r="I20" i="28"/>
  <c r="J20" i="28"/>
  <c r="G21" i="28"/>
  <c r="H21" i="28"/>
  <c r="I21" i="28"/>
  <c r="J21" i="28"/>
  <c r="G22" i="28"/>
  <c r="H22" i="28"/>
  <c r="I22" i="28"/>
  <c r="J22" i="28"/>
  <c r="G23" i="28"/>
  <c r="H23" i="28"/>
  <c r="I23" i="28"/>
  <c r="J23" i="28"/>
  <c r="G24" i="28"/>
  <c r="H24" i="28"/>
  <c r="I24" i="28"/>
  <c r="J24" i="28"/>
  <c r="G25" i="28"/>
  <c r="H25" i="28"/>
  <c r="I25" i="28"/>
  <c r="J25" i="28"/>
  <c r="G26" i="28"/>
  <c r="H26" i="28"/>
  <c r="I26" i="28"/>
  <c r="J26" i="28"/>
  <c r="G27" i="28"/>
  <c r="H27" i="28"/>
  <c r="I27" i="28"/>
  <c r="J27" i="28"/>
  <c r="G28" i="28"/>
  <c r="H28" i="28"/>
  <c r="I28" i="28"/>
  <c r="J28" i="28"/>
  <c r="G29" i="28"/>
  <c r="H29" i="28"/>
  <c r="I29" i="28"/>
  <c r="J29" i="28"/>
  <c r="G30" i="28"/>
  <c r="H30" i="28"/>
  <c r="I30" i="28"/>
  <c r="J30" i="28"/>
  <c r="G31" i="28"/>
  <c r="H31" i="28"/>
  <c r="I31" i="28"/>
  <c r="J31" i="28"/>
  <c r="G32" i="28"/>
  <c r="H32" i="28"/>
  <c r="I32" i="28"/>
  <c r="J32" i="28"/>
  <c r="G33" i="28"/>
  <c r="H33" i="28"/>
  <c r="I33" i="28"/>
  <c r="J33" i="28"/>
  <c r="G34" i="28"/>
  <c r="H34" i="28"/>
  <c r="I34" i="28"/>
  <c r="J34" i="28"/>
  <c r="G35" i="28"/>
  <c r="H35" i="28"/>
  <c r="I35" i="28"/>
  <c r="J35" i="28"/>
  <c r="G36" i="28"/>
  <c r="H36" i="28"/>
  <c r="I36" i="28"/>
  <c r="J36" i="28"/>
  <c r="G37" i="28"/>
  <c r="H37" i="28"/>
  <c r="I37" i="28"/>
  <c r="J37" i="28"/>
  <c r="G38" i="28"/>
  <c r="H38" i="28"/>
  <c r="I38" i="28"/>
  <c r="J38" i="28"/>
  <c r="G39" i="28"/>
  <c r="H39" i="28"/>
  <c r="I39" i="28"/>
  <c r="J39" i="28"/>
  <c r="G40" i="28"/>
  <c r="H40" i="28"/>
  <c r="I40" i="28"/>
  <c r="J40" i="28"/>
  <c r="G41" i="28"/>
  <c r="H41" i="28"/>
  <c r="I41" i="28"/>
  <c r="J41" i="28"/>
  <c r="G42" i="28"/>
  <c r="H42" i="28"/>
  <c r="I42" i="28"/>
  <c r="J42" i="28"/>
  <c r="H3" i="28"/>
  <c r="I3" i="28"/>
  <c r="J3" i="28"/>
  <c r="G3" i="28"/>
  <c r="Q185" i="5"/>
  <c r="Q184" i="5"/>
  <c r="Q183" i="5"/>
  <c r="Q182" i="5"/>
  <c r="Q181" i="5"/>
  <c r="Q180" i="5"/>
  <c r="Q179" i="5"/>
  <c r="Q178" i="5"/>
  <c r="Q177" i="5"/>
  <c r="Q176" i="5"/>
  <c r="Q175" i="5"/>
  <c r="Q174" i="5"/>
  <c r="Q173" i="5"/>
  <c r="Q172" i="5"/>
  <c r="Q171" i="5"/>
  <c r="Q170" i="5"/>
  <c r="Q169" i="5"/>
  <c r="Q168" i="5"/>
  <c r="Q167" i="5"/>
  <c r="Q166" i="5"/>
  <c r="Q165" i="5"/>
  <c r="Q164" i="5"/>
  <c r="Q163" i="5"/>
  <c r="Q162" i="5"/>
  <c r="Q161" i="5"/>
  <c r="Q160" i="5"/>
  <c r="Q159" i="5"/>
  <c r="Q158" i="5"/>
  <c r="Q157" i="5"/>
  <c r="Q156" i="5"/>
  <c r="Q155" i="5"/>
  <c r="Q154" i="5"/>
  <c r="Q153" i="5"/>
  <c r="Q152" i="5"/>
  <c r="Q151" i="5"/>
  <c r="Q150" i="5"/>
  <c r="V113" i="5" l="1"/>
  <c r="S113" i="5"/>
  <c r="V112" i="5"/>
  <c r="S112" i="5"/>
  <c r="V109" i="5"/>
  <c r="S109" i="5"/>
  <c r="V106" i="5"/>
  <c r="S106" i="5"/>
  <c r="V103" i="5"/>
  <c r="S103" i="5"/>
  <c r="V100" i="5"/>
  <c r="S100" i="5"/>
  <c r="V97" i="5"/>
  <c r="S97" i="5"/>
  <c r="V94" i="5"/>
  <c r="S94" i="5"/>
  <c r="V85" i="5"/>
  <c r="S85" i="5"/>
  <c r="V84" i="5"/>
  <c r="S84" i="5"/>
  <c r="V81" i="5"/>
  <c r="S81" i="5"/>
  <c r="V78" i="5"/>
  <c r="S78" i="5"/>
  <c r="V75" i="5"/>
  <c r="S75" i="5"/>
  <c r="V72" i="5"/>
  <c r="S72" i="5"/>
  <c r="V69" i="5"/>
  <c r="S69" i="5"/>
  <c r="V66" i="5"/>
  <c r="S66" i="5"/>
  <c r="V57" i="5"/>
  <c r="S57" i="5"/>
  <c r="V44" i="5"/>
  <c r="S44" i="5"/>
  <c r="V56" i="5"/>
  <c r="S56" i="5"/>
  <c r="V53" i="5"/>
  <c r="S53" i="5"/>
  <c r="V50" i="5"/>
  <c r="S50" i="5"/>
  <c r="V47" i="5"/>
  <c r="S47" i="5"/>
  <c r="V41" i="5"/>
  <c r="S41" i="5"/>
  <c r="V38" i="5"/>
  <c r="S38" i="5"/>
  <c r="V28" i="5"/>
  <c r="S28" i="5"/>
  <c r="V25" i="5"/>
  <c r="S25" i="5"/>
  <c r="V29" i="5"/>
  <c r="S29" i="5"/>
  <c r="V22" i="5"/>
  <c r="S22" i="5"/>
  <c r="S19" i="5"/>
  <c r="V19" i="5"/>
  <c r="V16" i="5"/>
  <c r="V13" i="5"/>
  <c r="V10" i="5"/>
  <c r="Z10" i="5" s="1"/>
  <c r="S16" i="5"/>
  <c r="X94" i="5" l="1"/>
  <c r="W94" i="5"/>
  <c r="Z94" i="5"/>
  <c r="Y94" i="5"/>
  <c r="Y75" i="5"/>
  <c r="X75" i="5"/>
  <c r="W75" i="5"/>
  <c r="Z75" i="5"/>
  <c r="Z97" i="5"/>
  <c r="Y97" i="5"/>
  <c r="X97" i="5"/>
  <c r="W97" i="5"/>
  <c r="X38" i="5"/>
  <c r="Z38" i="5"/>
  <c r="W38" i="5"/>
  <c r="Y38" i="5"/>
  <c r="Z13" i="5"/>
  <c r="Y13" i="5"/>
  <c r="X13" i="5"/>
  <c r="W13" i="5"/>
  <c r="W22" i="5"/>
  <c r="Z22" i="5"/>
  <c r="X22" i="5"/>
  <c r="Y22" i="5"/>
  <c r="W100" i="5"/>
  <c r="Z100" i="5"/>
  <c r="X100" i="5"/>
  <c r="Y100" i="5"/>
  <c r="Y103" i="5"/>
  <c r="X103" i="5"/>
  <c r="W103" i="5"/>
  <c r="Z103" i="5"/>
  <c r="X78" i="5"/>
  <c r="Z78" i="5"/>
  <c r="W78" i="5"/>
  <c r="Y78" i="5"/>
  <c r="Z66" i="5"/>
  <c r="X66" i="5"/>
  <c r="Y66" i="5"/>
  <c r="W66" i="5"/>
  <c r="Z41" i="5"/>
  <c r="Y41" i="5"/>
  <c r="X41" i="5"/>
  <c r="W41" i="5"/>
  <c r="Z69" i="5"/>
  <c r="Y69" i="5"/>
  <c r="X69" i="5"/>
  <c r="W69" i="5"/>
  <c r="Y16" i="5"/>
  <c r="W16" i="5"/>
  <c r="Z16" i="5"/>
  <c r="X16" i="5"/>
  <c r="Y47" i="5"/>
  <c r="X47" i="5"/>
  <c r="W47" i="5"/>
  <c r="Z47" i="5"/>
  <c r="Y72" i="5"/>
  <c r="Z72" i="5"/>
  <c r="W72" i="5"/>
  <c r="X72" i="5"/>
  <c r="Y19" i="5"/>
  <c r="W19" i="5"/>
  <c r="X19" i="5"/>
  <c r="Z19" i="5"/>
  <c r="Z109" i="5"/>
  <c r="Y109" i="5"/>
  <c r="X109" i="5"/>
  <c r="W109" i="5"/>
  <c r="W50" i="5"/>
  <c r="X50" i="5"/>
  <c r="Z50" i="5"/>
  <c r="Y50" i="5"/>
  <c r="Z53" i="5"/>
  <c r="Y53" i="5"/>
  <c r="X53" i="5"/>
  <c r="W53" i="5"/>
  <c r="W106" i="5"/>
  <c r="Z106" i="5"/>
  <c r="X106" i="5"/>
  <c r="Y106" i="5"/>
  <c r="Z29" i="5"/>
  <c r="Y29" i="5"/>
  <c r="W29" i="5"/>
  <c r="X29" i="5"/>
  <c r="W56" i="5"/>
  <c r="Z56" i="5"/>
  <c r="Y56" i="5"/>
  <c r="X56" i="5"/>
  <c r="Z81" i="5"/>
  <c r="Y81" i="5"/>
  <c r="X81" i="5"/>
  <c r="W81" i="5"/>
  <c r="Z25" i="5"/>
  <c r="Y25" i="5"/>
  <c r="X25" i="5"/>
  <c r="W25" i="5"/>
  <c r="Z44" i="5"/>
  <c r="Y44" i="5"/>
  <c r="W44" i="5"/>
  <c r="X44" i="5"/>
  <c r="X84" i="5"/>
  <c r="Z84" i="5"/>
  <c r="Y84" i="5"/>
  <c r="W84" i="5"/>
  <c r="Z112" i="5"/>
  <c r="X112" i="5"/>
  <c r="Y112" i="5"/>
  <c r="W112" i="5"/>
  <c r="Y28" i="5"/>
  <c r="Z28" i="5"/>
  <c r="X28" i="5"/>
  <c r="W28" i="5"/>
  <c r="Z57" i="5"/>
  <c r="Y57" i="5"/>
  <c r="X57" i="5"/>
  <c r="W57" i="5"/>
  <c r="Z85" i="5"/>
  <c r="Y85" i="5"/>
  <c r="X85" i="5"/>
  <c r="W85" i="5"/>
  <c r="Z113" i="5"/>
  <c r="Y113" i="5"/>
  <c r="X113" i="5"/>
  <c r="W113" i="5"/>
  <c r="X10" i="5"/>
  <c r="Y10" i="5"/>
  <c r="W10" i="5"/>
  <c r="S13" i="5"/>
  <c r="S10" i="5"/>
</calcChain>
</file>

<file path=xl/sharedStrings.xml><?xml version="1.0" encoding="utf-8"?>
<sst xmlns="http://schemas.openxmlformats.org/spreadsheetml/2006/main" count="6169" uniqueCount="1666">
  <si>
    <t>Welches Blatt exportieren?</t>
  </si>
  <si>
    <t>Wohin /Pfad</t>
  </si>
  <si>
    <t>welches Blatt importieren?</t>
  </si>
  <si>
    <t>const_type</t>
  </si>
  <si>
    <t>description</t>
  </si>
  <si>
    <t>year_start</t>
  </si>
  <si>
    <t>year_end</t>
  </si>
  <si>
    <t>type_mass</t>
  </si>
  <si>
    <t>type_leak</t>
  </si>
  <si>
    <t>type_win</t>
  </si>
  <si>
    <t>type_roof</t>
  </si>
  <si>
    <t>type_part</t>
  </si>
  <si>
    <t>type_wall</t>
  </si>
  <si>
    <t>type_floor</t>
  </si>
  <si>
    <t>type_base</t>
  </si>
  <si>
    <t>type_shade</t>
  </si>
  <si>
    <t>Es</t>
  </si>
  <si>
    <t>Hs</t>
  </si>
  <si>
    <t>Ns</t>
  </si>
  <si>
    <t>occupied_bg</t>
  </si>
  <si>
    <t>wwr_north</t>
  </si>
  <si>
    <t>wwr_south</t>
  </si>
  <si>
    <t>wwr_east</t>
  </si>
  <si>
    <t>wwr_west</t>
  </si>
  <si>
    <t>hvac_type_hs</t>
  </si>
  <si>
    <t>hvac_type_cs</t>
  </si>
  <si>
    <t>hvac_type_dhw</t>
  </si>
  <si>
    <t>hvac_type_ctrl</t>
  </si>
  <si>
    <t>hvac_type_vent</t>
  </si>
  <si>
    <t>hvac_heat_starts</t>
  </si>
  <si>
    <t>hvac_heat_ends</t>
  </si>
  <si>
    <t>hvac_cool_starts</t>
  </si>
  <si>
    <t>hvac_cool_ends</t>
  </si>
  <si>
    <t>supply_type_hs</t>
  </si>
  <si>
    <t>supply_type_dhw</t>
  </si>
  <si>
    <t>supply_type_cs</t>
  </si>
  <si>
    <t>supply_type_el</t>
  </si>
  <si>
    <t>STANDARD1</t>
  </si>
  <si>
    <t>Stone and Masonry from 1000's to 1920's</t>
  </si>
  <si>
    <t>CONSTRUCTION_AS3</t>
  </si>
  <si>
    <t>TIGHTNESS_AS3</t>
  </si>
  <si>
    <t>WINDOW_AS1</t>
  </si>
  <si>
    <t>ROOF_AS2</t>
  </si>
  <si>
    <t>WALL_AS7</t>
  </si>
  <si>
    <t>WALL_AS2</t>
  </si>
  <si>
    <t>FLOOR_AS1</t>
  </si>
  <si>
    <t>FLOOR_AS4</t>
  </si>
  <si>
    <t>SHADING_AS2</t>
  </si>
  <si>
    <t>HVAC_HEATING_AS1</t>
  </si>
  <si>
    <t>HVAC_COOLING_AS0</t>
  </si>
  <si>
    <t>HVAC_HOTWATER_AS1</t>
  </si>
  <si>
    <t>HVAC_CONTROLLER_AS1</t>
  </si>
  <si>
    <t>HVAC_VENTILATION_AS0</t>
  </si>
  <si>
    <t>16|09</t>
  </si>
  <si>
    <t>14|05</t>
  </si>
  <si>
    <t>15|05</t>
  </si>
  <si>
    <t>15|09</t>
  </si>
  <si>
    <t>SUPPLY_HEATING_AS1</t>
  </si>
  <si>
    <t>SUPPLY_HOTWATER_AS1</t>
  </si>
  <si>
    <t>SUPPLY_COOLING_AS0</t>
  </si>
  <si>
    <t>SUPPLY_ELECTRICITY_AS1</t>
  </si>
  <si>
    <t>STANDARD2</t>
  </si>
  <si>
    <t>Concrete and Masonry from 1920's to 1970's</t>
  </si>
  <si>
    <t>CONSTRUCTION_AS2</t>
  </si>
  <si>
    <t>WALL_AS5</t>
  </si>
  <si>
    <t>FLOOR_AS3</t>
  </si>
  <si>
    <t>FLOOR_AS6</t>
  </si>
  <si>
    <t>SHADING_AS1</t>
  </si>
  <si>
    <t>STANDARD3</t>
  </si>
  <si>
    <t>Concrete and Masonry from 1970's to 1980's</t>
  </si>
  <si>
    <t>STANDARD4</t>
  </si>
  <si>
    <t>Concrete and Masonry from 1980's to 2000's</t>
  </si>
  <si>
    <t>WINDOW_AS2</t>
  </si>
  <si>
    <t>ROOF_AS1</t>
  </si>
  <si>
    <t>STANDARD5</t>
  </si>
  <si>
    <t>Concrete and Masonry from 2000's to 2020's</t>
  </si>
  <si>
    <t>TIGHTNESS_AS2</t>
  </si>
  <si>
    <t>ROOF_AS4</t>
  </si>
  <si>
    <t>HVAC_HEATING_AS4</t>
  </si>
  <si>
    <t>HVAC_CONTROLLER_AS2</t>
  </si>
  <si>
    <t>SUPPLY_HEATING_AS3</t>
  </si>
  <si>
    <t>SUPPLY_HOTWATER_AS3</t>
  </si>
  <si>
    <t>STANDARD6</t>
  </si>
  <si>
    <t>Concrete and Masonry  from 2000's to 2020's - Minergie Standard</t>
  </si>
  <si>
    <t>TIGHTNESS_AS1</t>
  </si>
  <si>
    <t>WINDOW_AS4</t>
  </si>
  <si>
    <t>HVAC_CONTROLLER_AS3</t>
  </si>
  <si>
    <t>HVAC_VENTILATION_AS1</t>
  </si>
  <si>
    <t>Bauperiode</t>
  </si>
  <si>
    <t>GK</t>
  </si>
  <si>
    <t>Status</t>
  </si>
  <si>
    <t>U-Wert AW</t>
  </si>
  <si>
    <t>U-Wert Fe</t>
  </si>
  <si>
    <t>U-Wert KD</t>
  </si>
  <si>
    <t>U-Wert OGD</t>
  </si>
  <si>
    <t>g-Wert</t>
  </si>
  <si>
    <t>WWR Nord</t>
  </si>
  <si>
    <t>WWR Ost</t>
  </si>
  <si>
    <t>WWR Süd</t>
  </si>
  <si>
    <t>WWR West</t>
  </si>
  <si>
    <t>Bis 1918</t>
  </si>
  <si>
    <t>1919-44</t>
  </si>
  <si>
    <t>1945-59</t>
  </si>
  <si>
    <t>1960-79</t>
  </si>
  <si>
    <t>1980-89</t>
  </si>
  <si>
    <t>1990-99</t>
  </si>
  <si>
    <t>2000-2010</t>
  </si>
  <si>
    <t>2020 -</t>
  </si>
  <si>
    <t>EFH</t>
  </si>
  <si>
    <t>Original</t>
  </si>
  <si>
    <t>Quelle</t>
  </si>
  <si>
    <t>https://episcope.eu/fileadmin/tabula/public/docs/brochure/AT_TABULA_TypologyBrochure_AEA.pdf</t>
  </si>
  <si>
    <t>HWB</t>
  </si>
  <si>
    <t>180-300</t>
  </si>
  <si>
    <t>200-370</t>
  </si>
  <si>
    <t>160-380</t>
  </si>
  <si>
    <t>145-280</t>
  </si>
  <si>
    <t>100-190</t>
  </si>
  <si>
    <t>80-130</t>
  </si>
  <si>
    <t>10-100</t>
  </si>
  <si>
    <t>10-50</t>
  </si>
  <si>
    <t>EFH I</t>
  </si>
  <si>
    <t>Bis 1919</t>
  </si>
  <si>
    <t>EFH I lt. https://episcope.eu/fileadmin/tabula/public/docs/brochure/AT_TABULA_TypologyBrochure_AEA.pdf</t>
  </si>
  <si>
    <t>Raumheizung</t>
  </si>
  <si>
    <t>EFH I Standardsanierung</t>
  </si>
  <si>
    <t>Standardsanierung</t>
  </si>
  <si>
    <t>EFH I k:a sanierung</t>
  </si>
  <si>
    <t>klimaaktiv Sanierung</t>
  </si>
  <si>
    <t>EFH II</t>
  </si>
  <si>
    <t>EFH II Standardsanierung</t>
  </si>
  <si>
    <t>EFH II k:a sanierung</t>
  </si>
  <si>
    <t>1920-44</t>
  </si>
  <si>
    <t>Erdgas</t>
  </si>
  <si>
    <t>Stückholz</t>
  </si>
  <si>
    <t>Holzpellets</t>
  </si>
  <si>
    <t>EFH III</t>
  </si>
  <si>
    <t>EFH III Standardsanierung</t>
  </si>
  <si>
    <t>EFH III k:a sanierung</t>
  </si>
  <si>
    <t>Heizöl</t>
  </si>
  <si>
    <t>EFH IV</t>
  </si>
  <si>
    <t>EFH IV Standardsanierung</t>
  </si>
  <si>
    <t>EFH IV k:a sanierung</t>
  </si>
  <si>
    <t>EFH V</t>
  </si>
  <si>
    <t>EFH V Standardsanierung</t>
  </si>
  <si>
    <t>EFH V k:a sanierung</t>
  </si>
  <si>
    <t>EFH VI</t>
  </si>
  <si>
    <t>EFH VI Standardsanierung</t>
  </si>
  <si>
    <t>EFH VI k:a sanierung</t>
  </si>
  <si>
    <t>EFH VII</t>
  </si>
  <si>
    <t>2000-20</t>
  </si>
  <si>
    <t>EFH VIII</t>
  </si>
  <si>
    <t>&gt;2020</t>
  </si>
  <si>
    <t>Wärmepumpe</t>
  </si>
  <si>
    <t>RH</t>
  </si>
  <si>
    <t>2000-2020</t>
  </si>
  <si>
    <t>RH I</t>
  </si>
  <si>
    <t>RH I Standardsanierung</t>
  </si>
  <si>
    <t>RH I k:a sanierung</t>
  </si>
  <si>
    <t>RH II</t>
  </si>
  <si>
    <t>RH II Standardsanierung</t>
  </si>
  <si>
    <t>RH II k:a sanierung</t>
  </si>
  <si>
    <t>RH III</t>
  </si>
  <si>
    <t>RH III Standardsanierung</t>
  </si>
  <si>
    <t>RH III k:a sanierung</t>
  </si>
  <si>
    <t>RH IV</t>
  </si>
  <si>
    <t>RH IV Standardsanierung</t>
  </si>
  <si>
    <t>RH IV k:a sanierung</t>
  </si>
  <si>
    <t>RH V</t>
  </si>
  <si>
    <t>RH V Standardsanierung</t>
  </si>
  <si>
    <t>RH V k:a sanierung</t>
  </si>
  <si>
    <t>RH VI</t>
  </si>
  <si>
    <t>RH VI Standardsanierung</t>
  </si>
  <si>
    <t>RH VI k:a sanierung</t>
  </si>
  <si>
    <t>RH VII</t>
  </si>
  <si>
    <t>RH VIII</t>
  </si>
  <si>
    <t>Holz</t>
  </si>
  <si>
    <t>Fernwärme</t>
  </si>
  <si>
    <t>WDVS statt STB-XPS gwählt</t>
  </si>
  <si>
    <t>MFH</t>
  </si>
  <si>
    <t>MFH I</t>
  </si>
  <si>
    <t>MFH I Standardsanierung</t>
  </si>
  <si>
    <t>MFH I k:a sanierung</t>
  </si>
  <si>
    <t>MFH II</t>
  </si>
  <si>
    <t>MFH II Standardsanierung</t>
  </si>
  <si>
    <t>MFH II k:a sanierung</t>
  </si>
  <si>
    <t>MFH III</t>
  </si>
  <si>
    <t>MFH III Standardsanierung</t>
  </si>
  <si>
    <t>MFH III k:a sanierung</t>
  </si>
  <si>
    <t>MFH IV</t>
  </si>
  <si>
    <t>MFH IV Standardsanierung</t>
  </si>
  <si>
    <t>MFH IV k:a sanierung</t>
  </si>
  <si>
    <t>MFH V</t>
  </si>
  <si>
    <t>MFH V Standardsanierung</t>
  </si>
  <si>
    <t>MFH V k:a sanierung</t>
  </si>
  <si>
    <t>MFH VI</t>
  </si>
  <si>
    <t>MFH VI Standardsanierung</t>
  </si>
  <si>
    <t>MFH VI k:a sanierung</t>
  </si>
  <si>
    <t>MFH VII</t>
  </si>
  <si>
    <t>MFH VIII</t>
  </si>
  <si>
    <t>130-230</t>
  </si>
  <si>
    <t>14-270</t>
  </si>
  <si>
    <t>150-270</t>
  </si>
  <si>
    <t>100-205</t>
  </si>
  <si>
    <t>80-140</t>
  </si>
  <si>
    <t>60-100</t>
  </si>
  <si>
    <t>10-80</t>
  </si>
  <si>
    <t>MWB</t>
  </si>
  <si>
    <t>MWB I</t>
  </si>
  <si>
    <t>MWB I Standardsanierung</t>
  </si>
  <si>
    <t>MWB I k:a sanierung</t>
  </si>
  <si>
    <t>MWB II</t>
  </si>
  <si>
    <t>MWB II Standardsanierung</t>
  </si>
  <si>
    <t>MWB II k:a sanierung</t>
  </si>
  <si>
    <t>MWB III</t>
  </si>
  <si>
    <t>MWB III Standardsanierung</t>
  </si>
  <si>
    <t>MWB III k:a sanierung</t>
  </si>
  <si>
    <t>MWB IV</t>
  </si>
  <si>
    <t>MWB IV Standardsanierung</t>
  </si>
  <si>
    <t>MWB IV k:a sanierung</t>
  </si>
  <si>
    <t>MWB V</t>
  </si>
  <si>
    <t>MWB V Standardsanierung</t>
  </si>
  <si>
    <t>MWB V k:a sanierung</t>
  </si>
  <si>
    <t>MWB VI</t>
  </si>
  <si>
    <t>MWB VI Standardsanierung</t>
  </si>
  <si>
    <t>MWB VI k:a sanierung</t>
  </si>
  <si>
    <t>MWB VII</t>
  </si>
  <si>
    <t>MWB VIII</t>
  </si>
  <si>
    <t>140-270</t>
  </si>
  <si>
    <t>Art Fenster</t>
  </si>
  <si>
    <t>Kastenfenster mit zwei Einfachverglasungen</t>
  </si>
  <si>
    <t>Bauweise AW</t>
  </si>
  <si>
    <t>Bauweise ZwiDe</t>
  </si>
  <si>
    <t>Ziegel</t>
  </si>
  <si>
    <t>Holzbalken</t>
  </si>
  <si>
    <t>Kastenfenster Kunststoff/Isolierverglasung</t>
  </si>
  <si>
    <t>AW</t>
  </si>
  <si>
    <t>F</t>
  </si>
  <si>
    <t>Dach/FB/KD</t>
  </si>
  <si>
    <t>11x9</t>
  </si>
  <si>
    <t>GrundRiss</t>
  </si>
  <si>
    <t>Höhe</t>
  </si>
  <si>
    <t>Vollziegel</t>
  </si>
  <si>
    <t>Stahlbeton</t>
  </si>
  <si>
    <t>10x9</t>
  </si>
  <si>
    <t>14x11</t>
  </si>
  <si>
    <t>BGF</t>
  </si>
  <si>
    <t>WWR-total</t>
  </si>
  <si>
    <t>Isolierverglasung, Kunststoff/Holzrahmen</t>
  </si>
  <si>
    <t>Betonhohlblockstein</t>
  </si>
  <si>
    <t>12x11</t>
  </si>
  <si>
    <t>Isolier-/Wärmeschutzverglasung, Kunststoffrahmen gedämmt, Holz oder Holz/Alu</t>
  </si>
  <si>
    <t>Schlackenbeton Mauerwerk</t>
  </si>
  <si>
    <t>Betonhohlkörper</t>
  </si>
  <si>
    <t>11x7</t>
  </si>
  <si>
    <t>Holzriegelwerk</t>
  </si>
  <si>
    <t>Sparrendach</t>
  </si>
  <si>
    <t>11x6</t>
  </si>
  <si>
    <t>2-Scheiben-Wärmeschutzverglasung, wd-Rahmen</t>
  </si>
  <si>
    <t>Holzsystemwand</t>
  </si>
  <si>
    <t>Passivhausfenster, wd-Rahmen</t>
  </si>
  <si>
    <t>Holzständerwand</t>
  </si>
  <si>
    <t>Massivbetondecke</t>
  </si>
  <si>
    <t>Kastenfenster, Einfachverglasung</t>
  </si>
  <si>
    <t>Ziegelmauerwerk</t>
  </si>
  <si>
    <t>21x11</t>
  </si>
  <si>
    <t>10x12</t>
  </si>
  <si>
    <t>Holz, Isolierverglasung</t>
  </si>
  <si>
    <t>21x13</t>
  </si>
  <si>
    <t>Holzverbundfenster</t>
  </si>
  <si>
    <t>Hochlochziegel</t>
  </si>
  <si>
    <t>Ortbeton</t>
  </si>
  <si>
    <t>11x5</t>
  </si>
  <si>
    <t>Kunststoff, Isolierverglasung</t>
  </si>
  <si>
    <t>12x8</t>
  </si>
  <si>
    <t>Kunststofffenster Isolierverglasung</t>
  </si>
  <si>
    <t>Hohlblockstein</t>
  </si>
  <si>
    <t>7x11</t>
  </si>
  <si>
    <t>Hohlkörperde</t>
  </si>
  <si>
    <t>9x7</t>
  </si>
  <si>
    <t>Holz-Fertigteilwände</t>
  </si>
  <si>
    <t>Kastenfenster Einfachverglasung</t>
  </si>
  <si>
    <t>13x12</t>
  </si>
  <si>
    <t>14x10</t>
  </si>
  <si>
    <t>12x20</t>
  </si>
  <si>
    <t>Holzfenster Isolierverglasung</t>
  </si>
  <si>
    <t>16x12</t>
  </si>
  <si>
    <t>Kunststoffverbundfenster</t>
  </si>
  <si>
    <t>Fertigteilbeton</t>
  </si>
  <si>
    <t>20x17</t>
  </si>
  <si>
    <t>Blähton</t>
  </si>
  <si>
    <t>17x13</t>
  </si>
  <si>
    <t>Kunststofffenster Wärmeschutzverglasung</t>
  </si>
  <si>
    <t>Brettstapel-AW</t>
  </si>
  <si>
    <t>13x42</t>
  </si>
  <si>
    <t>16x41</t>
  </si>
  <si>
    <t>Betonhohlstein</t>
  </si>
  <si>
    <t>14x24</t>
  </si>
  <si>
    <t>Stahlbetonfertigteile</t>
  </si>
  <si>
    <t>14x43</t>
  </si>
  <si>
    <t>15x28</t>
  </si>
  <si>
    <t>12x31</t>
  </si>
  <si>
    <t>14x41</t>
  </si>
  <si>
    <t>Kastenfenster Holz-/Kunststoffverbundfenster</t>
  </si>
  <si>
    <t>Trade</t>
  </si>
  <si>
    <t>Before 1945</t>
  </si>
  <si>
    <t>1945 - 1969</t>
  </si>
  <si>
    <t>1970 - 1979</t>
  </si>
  <si>
    <t>1980 - 1989</t>
  </si>
  <si>
    <t>1990 - 1999</t>
  </si>
  <si>
    <t>2000 - 2010</t>
  </si>
  <si>
    <t>Post 2010</t>
  </si>
  <si>
    <t>Education</t>
  </si>
  <si>
    <t>Health</t>
  </si>
  <si>
    <t>Hotels and Restaurants</t>
  </si>
  <si>
    <t>Other non-residential buildings</t>
  </si>
  <si>
    <t>tabula building stock Excel</t>
  </si>
  <si>
    <t>Kostenoptimalität OIB 2011</t>
  </si>
  <si>
    <t>-</t>
  </si>
  <si>
    <t>DLG</t>
  </si>
  <si>
    <t>EFH1</t>
  </si>
  <si>
    <t>MFH1</t>
  </si>
  <si>
    <t>MWB1</t>
  </si>
  <si>
    <t>EFH2</t>
  </si>
  <si>
    <t>MFH2</t>
  </si>
  <si>
    <t>MWB2</t>
  </si>
  <si>
    <t>DLG1k</t>
  </si>
  <si>
    <t>DLG1g</t>
  </si>
  <si>
    <t>DLG2k</t>
  </si>
  <si>
    <t>DLG2g</t>
  </si>
  <si>
    <t>DLG3k</t>
  </si>
  <si>
    <t>DLG3g</t>
  </si>
  <si>
    <t>12x14</t>
  </si>
  <si>
    <t>8x10.72</t>
  </si>
  <si>
    <t>12x18.55</t>
  </si>
  <si>
    <t>10x14.84</t>
  </si>
  <si>
    <t>12x30.62</t>
  </si>
  <si>
    <t>12x20.42</t>
  </si>
  <si>
    <t>12x14.29</t>
  </si>
  <si>
    <t>offen</t>
  </si>
  <si>
    <t>gekoppelt</t>
  </si>
  <si>
    <t>geschlossen</t>
  </si>
  <si>
    <t>23-32-36</t>
  </si>
  <si>
    <t>Neubau</t>
  </si>
  <si>
    <t>vor 1900</t>
  </si>
  <si>
    <t>nach 1900</t>
  </si>
  <si>
    <t>ab 1945</t>
  </si>
  <si>
    <t>ab 1960</t>
  </si>
  <si>
    <t>mittelschwer</t>
  </si>
  <si>
    <t>n50</t>
  </si>
  <si>
    <t>Luftwechsel lt. ÖNORM 8110-5</t>
  </si>
  <si>
    <t xml:space="preserve"> </t>
  </si>
  <si>
    <t>code</t>
  </si>
  <si>
    <t>U_base</t>
  </si>
  <si>
    <t>GHG_floor_kgCO2m2</t>
  </si>
  <si>
    <t>GHG_biogenic_floor_kgCO2m2</t>
  </si>
  <si>
    <t>Service_Life_floor</t>
  </si>
  <si>
    <t>Reference</t>
  </si>
  <si>
    <t>Unnamed: 7</t>
  </si>
  <si>
    <t>FLOOR_AS2</t>
  </si>
  <si>
    <t>FLOOR_AS5</t>
  </si>
  <si>
    <t>FLOOR_AS7_C</t>
  </si>
  <si>
    <t xml:space="preserve">SIA 380/1 / 2016 D - HeizwÃ¤rmebedarf </t>
  </si>
  <si>
    <t>FLOOR_AS7_L</t>
  </si>
  <si>
    <t>FLOOR_AS10_C</t>
  </si>
  <si>
    <t>FLOOR_AS10_L</t>
  </si>
  <si>
    <t>FLOOR_AS11_C</t>
  </si>
  <si>
    <t>FLOOR_AS11_L</t>
  </si>
  <si>
    <t>No retrofit</t>
  </si>
  <si>
    <t>FLOOR_NoRet</t>
  </si>
  <si>
    <t>"concrete floor old"</t>
  </si>
  <si>
    <t>"concrete floor renovated"</t>
  </si>
  <si>
    <t>"concrete floor new"</t>
  </si>
  <si>
    <t>"concrete floor old - basement (includes excavation)"</t>
  </si>
  <si>
    <t>"concrete floor renovated - basement (includes excavation)"</t>
  </si>
  <si>
    <t>"concrete floor new - basement (includes excavation)"</t>
  </si>
  <si>
    <t>"retrofit basement add insulation conventional sia 380"</t>
  </si>
  <si>
    <t>"retrofit basement add insulation  low carbon sia 380"</t>
  </si>
  <si>
    <t>"new building basement concrete with parquet conventional sia 380"</t>
  </si>
  <si>
    <t>"new building basement concrete with parquet low carbon sia 380"</t>
  </si>
  <si>
    <t>"new building floor concrete with parquet conventional sia 380"</t>
  </si>
  <si>
    <t>"new building floor concrete with parquet low carbon sia 380"</t>
  </si>
  <si>
    <t>"SIA â€œSIA 2032 Graue Energie von GebÃ¤udenâ€ no. 2010. Schweizerischer Ingenieur- und Architektenverein ZÃ¼rich 2010."</t>
  </si>
  <si>
    <t>Cm_Af</t>
  </si>
  <si>
    <t>Light construction</t>
  </si>
  <si>
    <t>CONSTRUCTION_AS1</t>
  </si>
  <si>
    <t>Medium construction</t>
  </si>
  <si>
    <t>Heavy construction</t>
  </si>
  <si>
    <t>U_roof</t>
  </si>
  <si>
    <t>a_roof</t>
  </si>
  <si>
    <t>e_roof</t>
  </si>
  <si>
    <t>r_roof</t>
  </si>
  <si>
    <t>GHG_roof_kgCO2m2</t>
  </si>
  <si>
    <t>GHG_biogenic_roof_kgCO2m2</t>
  </si>
  <si>
    <t>Service_Life_roof</t>
  </si>
  <si>
    <t>Reference Service life</t>
  </si>
  <si>
    <t>Reference U-Value</t>
  </si>
  <si>
    <t>concrete or rock pebbles finishing - new construction</t>
  </si>
  <si>
    <t>clay tiles - old contruction</t>
  </si>
  <si>
    <t>aluminum tiles - old construction</t>
  </si>
  <si>
    <t>ROOF_AS3</t>
  </si>
  <si>
    <t>greenery - new roof</t>
  </si>
  <si>
    <t>white paint  over plaster over concrete - new roof</t>
  </si>
  <si>
    <t>ROOF_AS5</t>
  </si>
  <si>
    <t>dark paint over plaster over concrete - new roof</t>
  </si>
  <si>
    <t>ROOF_AS6</t>
  </si>
  <si>
    <t>concrete or rock pebbles finishing - Singapore</t>
  </si>
  <si>
    <t>ROOF_AS7</t>
  </si>
  <si>
    <t>ROOF_AS8_C</t>
  </si>
  <si>
    <t>ROOF_AS8_L</t>
  </si>
  <si>
    <t>ROOF_AS9_C</t>
  </si>
  <si>
    <t>ROOF_AS9_L</t>
  </si>
  <si>
    <t>NoRotrofit</t>
  </si>
  <si>
    <t>ROOF_NoRet</t>
  </si>
  <si>
    <t>SIA, “SIA 2032 Graue Energie von Gebäuden,” no. 2010. Schweizerischer Ingenieur- und Architektenverein, Zürich, 2010.</t>
  </si>
  <si>
    <t>retrofit flat roof, add insulation, conventional, sia 380</t>
  </si>
  <si>
    <t xml:space="preserve">SIA 380/1 / 2016 D - Heizwärmebedarf </t>
  </si>
  <si>
    <t>retrofit flat roof, add insulation, low carbon, sia 380</t>
  </si>
  <si>
    <t>new building, flat roof, conventional, sia 380</t>
  </si>
  <si>
    <t>new building, flat roof, low carbon, sia 380</t>
  </si>
  <si>
    <t/>
  </si>
  <si>
    <t>rf_sh</t>
  </si>
  <si>
    <t>none</t>
  </si>
  <si>
    <t>SHADING_AS0</t>
  </si>
  <si>
    <t>rollo</t>
  </si>
  <si>
    <t>venetian blinds</t>
  </si>
  <si>
    <t>Highly tight</t>
  </si>
  <si>
    <t>Tight</t>
  </si>
  <si>
    <t>Medium</t>
  </si>
  <si>
    <t>Medium Leaky</t>
  </si>
  <si>
    <t>TIGHTNESS_AS4</t>
  </si>
  <si>
    <t>Leaky</t>
  </si>
  <si>
    <t>TIGHTNESS_AS5</t>
  </si>
  <si>
    <t>Very Leaky</t>
  </si>
  <si>
    <t>TIGHTNESS_AS6</t>
  </si>
  <si>
    <t>U_wall</t>
  </si>
  <si>
    <t>a_wall</t>
  </si>
  <si>
    <t>e_wall</t>
  </si>
  <si>
    <t>r_wall</t>
  </si>
  <si>
    <t>GHG_wall_kgCO2m2</t>
  </si>
  <si>
    <t>GHG_biogenic_wall_kgCO2m2</t>
  </si>
  <si>
    <t>Service_Life_wall</t>
  </si>
  <si>
    <t>clay brick common red exposed- new building</t>
  </si>
  <si>
    <t>WALL_AS1</t>
  </si>
  <si>
    <t>concrete block exposed- old building</t>
  </si>
  <si>
    <t>white paint  over plaster over clay brick- old building</t>
  </si>
  <si>
    <t>WALL_AS3</t>
  </si>
  <si>
    <t>dark blue over plaster over clay brick - new building</t>
  </si>
  <si>
    <t>WALL_AS4</t>
  </si>
  <si>
    <t>dark paint over plaster over clay brick - new building</t>
  </si>
  <si>
    <t>concrete block exposed- NTU</t>
  </si>
  <si>
    <t>WALL_AS6</t>
  </si>
  <si>
    <t>Internal partition in brick</t>
  </si>
  <si>
    <t>Internal partition in drywall</t>
  </si>
  <si>
    <t>WALL_AS8</t>
  </si>
  <si>
    <t>WALL_AS9_C</t>
  </si>
  <si>
    <t>WALL_AS9_L</t>
  </si>
  <si>
    <t>WALL_AS10_C</t>
  </si>
  <si>
    <t>WALL_AS10_L</t>
  </si>
  <si>
    <t>WALL_AS11_C</t>
  </si>
  <si>
    <t>WALL_AS11_L</t>
  </si>
  <si>
    <t>WALL_NoRet</t>
  </si>
  <si>
    <t>retrofit external wall, add insulation, conventional, sia 380</t>
  </si>
  <si>
    <t>retrofit external wall, add insulation, low carbon, sia 380</t>
  </si>
  <si>
    <t>new building, msonary external wall, conventional , sia 380</t>
  </si>
  <si>
    <t>new building, msonary external wall,  low carbon, sia 380</t>
  </si>
  <si>
    <t>new building, internal partition, conventional</t>
  </si>
  <si>
    <t>new building, internal partition, low carbon</t>
  </si>
  <si>
    <t>U_win</t>
  </si>
  <si>
    <t>G_win</t>
  </si>
  <si>
    <t>e_win</t>
  </si>
  <si>
    <t>F_F</t>
  </si>
  <si>
    <t>GHG_win_kgCO2m2</t>
  </si>
  <si>
    <t>GHG_biogenic_win_kgCO2m2</t>
  </si>
  <si>
    <t>Service_Life_win</t>
  </si>
  <si>
    <t>single glazing</t>
  </si>
  <si>
    <t xml:space="preserve">double glazing </t>
  </si>
  <si>
    <t>double glazing - with argon filling</t>
  </si>
  <si>
    <t>WINDOW_AS3</t>
  </si>
  <si>
    <t>double glazing with low-emissivity coating</t>
  </si>
  <si>
    <t>triple glazing</t>
  </si>
  <si>
    <t>WINDOW_AS5</t>
  </si>
  <si>
    <t>trple glazing with two selective low-emissivity coatings</t>
  </si>
  <si>
    <t>WINDOW_AS6</t>
  </si>
  <si>
    <t>double window</t>
  </si>
  <si>
    <t>WINDOW_AS7</t>
  </si>
  <si>
    <t>single glazing - HDB</t>
  </si>
  <si>
    <t>WINDOW_AS8</t>
  </si>
  <si>
    <t>window - NTU</t>
  </si>
  <si>
    <t>WINDOW_AS9</t>
  </si>
  <si>
    <t>window - SinBERBest Office</t>
  </si>
  <si>
    <t>WINDOW_AS10</t>
  </si>
  <si>
    <t>WINDOW_NoRet</t>
  </si>
  <si>
    <t>"SIA â€œSIA 2032 Graue Energie von GebÃ¤uden â€ no. 2010. Schweizerischer Ingenieur- und Architektenverein ZÃ¼rich 2010."</t>
  </si>
  <si>
    <t>dT_Qhs</t>
  </si>
  <si>
    <t>dT_Qcs</t>
  </si>
  <si>
    <t>HVAC_CONTROLLER_AS0</t>
  </si>
  <si>
    <t>PI controller</t>
  </si>
  <si>
    <t>PI controller with optimum tuning</t>
  </si>
  <si>
    <t>room temperature control (electromagnetically/electronically).</t>
  </si>
  <si>
    <t>HVAC_CONTROLLER_AS4</t>
  </si>
  <si>
    <t>class_cs</t>
  </si>
  <si>
    <t>convection_cs</t>
  </si>
  <si>
    <t>Qcsmax_Wm2</t>
  </si>
  <si>
    <t>dTcs_C</t>
  </si>
  <si>
    <t>Tscs0_ahu_C</t>
  </si>
  <si>
    <t>dTcs0_ahu_C</t>
  </si>
  <si>
    <t>Tc_sup_air_ahu_C</t>
  </si>
  <si>
    <t>Tscs0_aru_C</t>
  </si>
  <si>
    <t>dTcs0_aru_C</t>
  </si>
  <si>
    <t>Tc_sup_air_aru_C</t>
  </si>
  <si>
    <t>Tscs0_scu_C</t>
  </si>
  <si>
    <t>dTcs0_scu_C</t>
  </si>
  <si>
    <t>reference</t>
  </si>
  <si>
    <t>NONE</t>
  </si>
  <si>
    <t xml:space="preserve">ceiling cooling (18/21)  </t>
  </si>
  <si>
    <t>HVAC_COOLING_AS1</t>
  </si>
  <si>
    <t>CEILING_COOLING</t>
  </si>
  <si>
    <t xml:space="preserve">mini-split AC (6/15) </t>
  </si>
  <si>
    <t>HVAC_COOLING_AS2</t>
  </si>
  <si>
    <t>DECENTRALIZED_AC</t>
  </si>
  <si>
    <t xml:space="preserve">central AC (6/15) </t>
  </si>
  <si>
    <t>HVAC_COOLING_AS3</t>
  </si>
  <si>
    <t>CENTRAL_AC</t>
  </si>
  <si>
    <t>3for2</t>
  </si>
  <si>
    <t>HVAC_COOLING_AS4</t>
  </si>
  <si>
    <t>HYBRID_AC</t>
  </si>
  <si>
    <t xml:space="preserve">floor cooling (18/21)  </t>
  </si>
  <si>
    <t>HVAC_COOLING_AS5</t>
  </si>
  <si>
    <t>FLOOR_COOLING</t>
  </si>
  <si>
    <t>class_hs</t>
  </si>
  <si>
    <t>convection_hs</t>
  </si>
  <si>
    <t>Qhsmax_Wm2</t>
  </si>
  <si>
    <t>dThs_C</t>
  </si>
  <si>
    <t>Tshs0_ahu_C</t>
  </si>
  <si>
    <t>dThs0_ahu_C</t>
  </si>
  <si>
    <t>Th_sup_air_ahu_C</t>
  </si>
  <si>
    <t>Tshs0_aru_C</t>
  </si>
  <si>
    <t>dThs0_aru_C</t>
  </si>
  <si>
    <t>Th_sup_air_aru_C</t>
  </si>
  <si>
    <t>Tshs0_shu_C</t>
  </si>
  <si>
    <t>dThs0_shu_C</t>
  </si>
  <si>
    <t>HVAC_HEATING_AS0</t>
  </si>
  <si>
    <t xml:space="preserve">Radiator (90/70) </t>
  </si>
  <si>
    <t>RADIATOR</t>
  </si>
  <si>
    <t xml:space="preserve">Radiator (70/55) </t>
  </si>
  <si>
    <t>HVAC_HEATING_AS2</t>
  </si>
  <si>
    <t xml:space="preserve">central AC (40/20) </t>
  </si>
  <si>
    <t>HVAC_HEATING_AS3</t>
  </si>
  <si>
    <t xml:space="preserve">Floor heating (40/35) </t>
  </si>
  <si>
    <t>FLOOR_HEATING</t>
  </si>
  <si>
    <t>class_dhw</t>
  </si>
  <si>
    <t>Tsww0_C</t>
  </si>
  <si>
    <t>Qwwmax_Wm2</t>
  </si>
  <si>
    <t>HVAC_HOTWATER_AS0</t>
  </si>
  <si>
    <t xml:space="preserve">High temperature water (60/10) </t>
  </si>
  <si>
    <t>HIGH_TEMP</t>
  </si>
  <si>
    <t xml:space="preserve">Medium temperature water (45/10) </t>
  </si>
  <si>
    <t>HVAC_HOTWATER_AS2</t>
  </si>
  <si>
    <t>MEDIUM_TEMP</t>
  </si>
  <si>
    <t xml:space="preserve">Low temperature water + sanitation (35/10) </t>
  </si>
  <si>
    <t>HVAC_HOTWATER_AS3</t>
  </si>
  <si>
    <t>LOW_TEMP</t>
  </si>
  <si>
    <t xml:space="preserve">High temperature in the tropics (60/25) </t>
  </si>
  <si>
    <t>HVAC_HOTWATER_AS4</t>
  </si>
  <si>
    <t>MECH_VENT</t>
  </si>
  <si>
    <t>WIN_VENT</t>
  </si>
  <si>
    <t>HEAT_REC</t>
  </si>
  <si>
    <t>NIGHT_FLSH</t>
  </si>
  <si>
    <t>ECONOMIZER</t>
  </si>
  <si>
    <t>Window ventilation</t>
  </si>
  <si>
    <t>Mechanical ventilation with demand control</t>
  </si>
  <si>
    <t>Mechanical ventilation with demand control and economizer</t>
  </si>
  <si>
    <t>HVAC_VENTILATION_AS2</t>
  </si>
  <si>
    <t>Window ventilation - no night flushing</t>
  </si>
  <si>
    <t>HVAC_VENTILATION_AS3</t>
  </si>
  <si>
    <t>primary_components</t>
  </si>
  <si>
    <t>secondary_components</t>
  </si>
  <si>
    <t>tertiary_components</t>
  </si>
  <si>
    <t>system</t>
  </si>
  <si>
    <t>feedstock</t>
  </si>
  <si>
    <t>scale</t>
  </si>
  <si>
    <t>efficiency</t>
  </si>
  <si>
    <t>CAPEX_USD2015kW</t>
  </si>
  <si>
    <t>LT_yr</t>
  </si>
  <si>
    <t>O&amp;M_%</t>
  </si>
  <si>
    <t>IR_%</t>
  </si>
  <si>
    <t>educated guess</t>
  </si>
  <si>
    <t>heatpump - air/air</t>
  </si>
  <si>
    <t>SUPPLY_COOLING_AS1</t>
  </si>
  <si>
    <t>CH2</t>
  </si>
  <si>
    <t>CT1</t>
  </si>
  <si>
    <t>COOLING</t>
  </si>
  <si>
    <t>GRID</t>
  </si>
  <si>
    <t>BUILDING</t>
  </si>
  <si>
    <t>heatpump - water/water</t>
  </si>
  <si>
    <t>SUPPLY_COOLING_AS2</t>
  </si>
  <si>
    <t>district cooling  - Lakewater/water</t>
  </si>
  <si>
    <t>SUPPLY_COOLING_AS3</t>
  </si>
  <si>
    <t>DISTRICT</t>
  </si>
  <si>
    <t>district cooling  - air/air</t>
  </si>
  <si>
    <t>SUPPLY_COOLING_AS4</t>
  </si>
  <si>
    <t>SUPPLY_ELECTRICITY_AS0</t>
  </si>
  <si>
    <t>Swiss consumer energy mix</t>
  </si>
  <si>
    <t>CITY</t>
  </si>
  <si>
    <t>SUPPLY_HEATING_AS0</t>
  </si>
  <si>
    <t>oil-fired boiler</t>
  </si>
  <si>
    <t>BO2</t>
  </si>
  <si>
    <t>OIL</t>
  </si>
  <si>
    <t>Connolly et al. (2013). Costs in the EU boiler &lt;25 kW)</t>
  </si>
  <si>
    <t>coal-fired furnace</t>
  </si>
  <si>
    <t>SUPPLY_HEATING_AS2</t>
  </si>
  <si>
    <t>BO4</t>
  </si>
  <si>
    <t>COAL</t>
  </si>
  <si>
    <t>natural gas-fired boiler</t>
  </si>
  <si>
    <t>BO1</t>
  </si>
  <si>
    <t>NATURALGAS</t>
  </si>
  <si>
    <t>electrical boiler</t>
  </si>
  <si>
    <t>SUPPLY_HEATING_AS4</t>
  </si>
  <si>
    <t>BO5</t>
  </si>
  <si>
    <t>wood-furnace</t>
  </si>
  <si>
    <t>SUPPLY_HEATING_AS5</t>
  </si>
  <si>
    <t>BO6</t>
  </si>
  <si>
    <t>WOOD</t>
  </si>
  <si>
    <t>heatpump - soil/water</t>
  </si>
  <si>
    <t>SUPPLY_HEATING_AS6</t>
  </si>
  <si>
    <t>HP1</t>
  </si>
  <si>
    <t>SUPPLY_HEATING_AS7</t>
  </si>
  <si>
    <t>HP3</t>
  </si>
  <si>
    <t>SUPPLY_HEATING_AS8</t>
  </si>
  <si>
    <t>HP2</t>
  </si>
  <si>
    <t>district heating - natural gas-fired boiler</t>
  </si>
  <si>
    <t>SUPPLY_HEATING_AS9</t>
  </si>
  <si>
    <t>district heating - heatpump - soil/water</t>
  </si>
  <si>
    <t>SUPPLY_HEATING_AS10</t>
  </si>
  <si>
    <t>district heating - heat pump - water/water</t>
  </si>
  <si>
    <t>SUPPLY_HEATING_AS11</t>
  </si>
  <si>
    <t>SUPPLY_HOTWATER_AS0</t>
  </si>
  <si>
    <t>SUPPLY_HOTWATER_AS2</t>
  </si>
  <si>
    <t>SUPPLY_HOTWATER_AS4</t>
  </si>
  <si>
    <t>Asuming 2000 USD for a 12kW boiler</t>
  </si>
  <si>
    <t>SUPPLY_HOTWATER_AS5</t>
  </si>
  <si>
    <t>SUPPLY_HOTWATER_AS6</t>
  </si>
  <si>
    <t>SUPPLY_HOTWATER_AS7</t>
  </si>
  <si>
    <t>SUPPLY_HOTWATER_AS8</t>
  </si>
  <si>
    <t>SUPPLY_HOTWATER_AS9</t>
  </si>
  <si>
    <t>SUPPLY_HOTWATER_AS10</t>
  </si>
  <si>
    <t>SUPPLY_HOTWATER_AS11</t>
  </si>
  <si>
    <t>type</t>
  </si>
  <si>
    <t>subtype</t>
  </si>
  <si>
    <t>qualifier</t>
  </si>
  <si>
    <t>unit_qual</t>
  </si>
  <si>
    <t>mean_qual</t>
  </si>
  <si>
    <t>feedstock_file</t>
  </si>
  <si>
    <t>Hot air</t>
  </si>
  <si>
    <t>T100A</t>
  </si>
  <si>
    <t>thermal</t>
  </si>
  <si>
    <t>air</t>
  </si>
  <si>
    <t>temperature</t>
  </si>
  <si>
    <t>Warm air</t>
  </si>
  <si>
    <t>T35A</t>
  </si>
  <si>
    <t>Room temperature air</t>
  </si>
  <si>
    <t>T25A</t>
  </si>
  <si>
    <t>Cold air</t>
  </si>
  <si>
    <t>T10A</t>
  </si>
  <si>
    <t>Cold brine</t>
  </si>
  <si>
    <t>T0B</t>
  </si>
  <si>
    <t>brine</t>
  </si>
  <si>
    <t>Hot water (high temperature)</t>
  </si>
  <si>
    <t>T100W</t>
  </si>
  <si>
    <t>water</t>
  </si>
  <si>
    <t>Hot water (medium temperature)</t>
  </si>
  <si>
    <t>T60W</t>
  </si>
  <si>
    <t>Warm water (room temperature)</t>
  </si>
  <si>
    <t>T30W</t>
  </si>
  <si>
    <t>Fresh water</t>
  </si>
  <si>
    <t>T20W</t>
  </si>
  <si>
    <t>Cold water</t>
  </si>
  <si>
    <t>T10W</t>
  </si>
  <si>
    <t>Ice</t>
  </si>
  <si>
    <t>T0W</t>
  </si>
  <si>
    <t>Electricity - alternate current (low voltage)</t>
  </si>
  <si>
    <t>E230AC</t>
  </si>
  <si>
    <t>electrical</t>
  </si>
  <si>
    <t>AC</t>
  </si>
  <si>
    <t>voltage</t>
  </si>
  <si>
    <t>V</t>
  </si>
  <si>
    <t>Electricity - alternate current (medium voltage)</t>
  </si>
  <si>
    <t>E22kAC</t>
  </si>
  <si>
    <t>Electricity - alternate current (high voltage)</t>
  </si>
  <si>
    <t>E66kAC</t>
  </si>
  <si>
    <t>Wood</t>
  </si>
  <si>
    <t>Cwod</t>
  </si>
  <si>
    <t>combustible</t>
  </si>
  <si>
    <t>biofuel</t>
  </si>
  <si>
    <t>chemical composition</t>
  </si>
  <si>
    <t>Wet biomass</t>
  </si>
  <si>
    <t>Cwbm</t>
  </si>
  <si>
    <t>WETBIOMASS</t>
  </si>
  <si>
    <t>Dry biomass</t>
  </si>
  <si>
    <t>Cdbm</t>
  </si>
  <si>
    <t>DRYBIOMASS</t>
  </si>
  <si>
    <t>Coal</t>
  </si>
  <si>
    <t>Ccoa</t>
  </si>
  <si>
    <t>fossil</t>
  </si>
  <si>
    <t>Oil</t>
  </si>
  <si>
    <t>Coil</t>
  </si>
  <si>
    <t>Natural gas</t>
  </si>
  <si>
    <t>Cgas</t>
  </si>
  <si>
    <t>Biogas</t>
  </si>
  <si>
    <t>Cbig</t>
  </si>
  <si>
    <t>BIOGAS</t>
  </si>
  <si>
    <t>Hydrogen</t>
  </si>
  <si>
    <t>Chyd</t>
  </si>
  <si>
    <t>HYDROGEN</t>
  </si>
  <si>
    <t>https://file.go.gov.sg/studyofhydrogenimportsanddownstreamapplicationsforsingapore.pdf</t>
  </si>
  <si>
    <t>°C</t>
  </si>
  <si>
    <t>100</t>
  </si>
  <si>
    <t>35</t>
  </si>
  <si>
    <t>25</t>
  </si>
  <si>
    <t>10</t>
  </si>
  <si>
    <t>0</t>
  </si>
  <si>
    <t>60</t>
  </si>
  <si>
    <t>30</t>
  </si>
  <si>
    <t>20</t>
  </si>
  <si>
    <t>230</t>
  </si>
  <si>
    <t>voltage: https://www.ntu.edu.sg/docs/librariesprovider60/publications/grid-2-0.pdf?sfvrsn=c1803649_2#:~:text=Electricity%20Grid%20in%20Singapore,-The%20electricity%20grid&amp;text=The%20transmission%20%26%20distribution%20network%20of,spanning%20more%20than%2015%2C000%20kilometres. _x000D_
price: https://www.ema.gov.sg/Residential_Electricity_Tariffs.aspx _x000D_
emission-intensity: https://www.ema.gov.sg/singapore-energy-statistics/Ch02/index2</t>
  </si>
  <si>
    <t>22000</t>
  </si>
  <si>
    <t>voltage: https://www.ntu.edu.sg/docs/librariesprovider60/publications/grid-2-0.pdf?sfvrsn=c1803649_2#:~:text=Electricity%20Grid%20in%20Singapore,-The%20electricity%20grid&amp;text=The%20transmission%20%26%20distribution%20network%20of,spanning%20more%20than%2015%2C000%20kilometres. price: https://www.emcsg.com/marketdata/priceinformation#priceDataView_x000D_
emission-intensity: https://www.ema.gov.sg/singapore-energy-statistics/Ch02/index2</t>
  </si>
  <si>
    <t>66000</t>
  </si>
  <si>
    <t>voltage: https://www.ntu.edu.sg/docs/librariesprovider60/publications/grid-2-0.pdf?sfvrsn=c1803649_2#:~:text=Electricity%20Grid%20in%20Singapore,-The%20elect6ricity%20grid&amp;text=The%20transmission%20%26%20distribution%20network%20of,spanning%20more%20than%2015%2C000%20kilometres._x000D_
price:https://www.emcsg.com/marketdata/priceinformation#priceDataView_x000D_
emission-intensity: https://www.ema.gov.sg/singapore-energy-statistics/Ch02/index2</t>
  </si>
  <si>
    <t>KBOB 2009/1:2016, ID 41.006 Stückholz (average), cost from CEA</t>
  </si>
  <si>
    <t>KBOB 2009/1:2016, ID 42.001 Kehrichtverbrennung, cost from CEA</t>
  </si>
  <si>
    <t>KBOB 2009/1:2016, ID 41.004/41.005 (average), cost from CEA</t>
  </si>
  <si>
    <t>KBOB 2009/1:2016, ID 41.001 Heizöl, cost from CEA</t>
  </si>
  <si>
    <t>PEN and CO2 from ecoinvent 3.4 - market for natural gas, burned in gas motor, for storage_GLO_2017_Allocation, cut-off,cost from Werke am Zurich see</t>
  </si>
  <si>
    <t>KBOB 2009/1:2016, ID 41.009 Biogas, cost from CEA, cost from Werke am Zurich see</t>
  </si>
  <si>
    <t>hour</t>
  </si>
  <si>
    <t>GHG_kgCO2MJ</t>
  </si>
  <si>
    <t>Opex_var_buy_USD2015kWh</t>
  </si>
  <si>
    <t>Opex_var_sell_USD2015kWh</t>
  </si>
  <si>
    <t>"KBOB / ecobau / IPB  2009/1:2022 ID 45.020 CH-Verbrauchermix cost from CEA"</t>
  </si>
  <si>
    <t>Nord</t>
  </si>
  <si>
    <t>Ost</t>
  </si>
  <si>
    <t>Süd</t>
  </si>
  <si>
    <t>West</t>
  </si>
  <si>
    <t>Wohnen</t>
  </si>
  <si>
    <t>NWG_BMVBS_A</t>
  </si>
  <si>
    <t>NWG_1_A</t>
  </si>
  <si>
    <t>NWG_1_B</t>
  </si>
  <si>
    <t>NWG_1_C</t>
  </si>
  <si>
    <t>NWG_2_A</t>
  </si>
  <si>
    <t>NWG_2_B</t>
  </si>
  <si>
    <t>NWG_2_C</t>
  </si>
  <si>
    <t>NWG_3_A</t>
  </si>
  <si>
    <t>NWG_3_B</t>
  </si>
  <si>
    <t>NWG_3_C</t>
  </si>
  <si>
    <t>NWG_4_A</t>
  </si>
  <si>
    <t>NWG_4_B</t>
  </si>
  <si>
    <t>NWG_4_C</t>
  </si>
  <si>
    <t>NWG_5_A</t>
  </si>
  <si>
    <t>NWG_5_B</t>
  </si>
  <si>
    <t>NWG_5_C</t>
  </si>
  <si>
    <t>NWG_6_A</t>
  </si>
  <si>
    <t>NWG_6_B</t>
  </si>
  <si>
    <t>NWG_6_C</t>
  </si>
  <si>
    <t>NWG_7_A</t>
  </si>
  <si>
    <t>NWG_7_B</t>
  </si>
  <si>
    <t>NWG_7_C</t>
  </si>
  <si>
    <t>NWG_8_A</t>
  </si>
  <si>
    <t>NWG_8_B</t>
  </si>
  <si>
    <t>NWG_8_C</t>
  </si>
  <si>
    <t>NWG_9_A</t>
  </si>
  <si>
    <t>NWG_9_B</t>
  </si>
  <si>
    <t>NWG_9_C</t>
  </si>
  <si>
    <t>NWG_10_A</t>
  </si>
  <si>
    <t>NWG_10_B</t>
  </si>
  <si>
    <t>NWG_10_C</t>
  </si>
  <si>
    <t>NWG_11_A</t>
  </si>
  <si>
    <t>NWG_11_B</t>
  </si>
  <si>
    <t>NWG_11_C</t>
  </si>
  <si>
    <t>NWG_G1_A</t>
  </si>
  <si>
    <t>NWG_G1_B</t>
  </si>
  <si>
    <t>NWG_G1_C</t>
  </si>
  <si>
    <t>NWG_G2_A</t>
  </si>
  <si>
    <t>NWG_G2_B</t>
  </si>
  <si>
    <t>NWG_G2_C</t>
  </si>
  <si>
    <t xml:space="preserve">Non-residentail building from typology from 1995 </t>
  </si>
  <si>
    <t>IWU Office, Administrative or Government Buildings 1860 - 1978</t>
  </si>
  <si>
    <t>IWU Office, Administrative or Government Buildings 1979 - 2009</t>
  </si>
  <si>
    <t>IWU Office, Administrative or Government Buildings 2010 - 2030</t>
  </si>
  <si>
    <t>IWU Research and University Teaching  (2) 1860 - 1978</t>
  </si>
  <si>
    <t>IWU Research and University Teaching  (2) 1979 - 2009</t>
  </si>
  <si>
    <t>IWU Research and University Teaching  (2) 2010 - 2030</t>
  </si>
  <si>
    <t>IWU Health and Care (3) 1860 - 1978</t>
  </si>
  <si>
    <t>IWU Health and Care (3) 1979 - 2009</t>
  </si>
  <si>
    <t>IWU Health and Care (3)  2010 - 2030</t>
  </si>
  <si>
    <t>IWU School, Day Nursery and other Care  (4) 1860 - 1978</t>
  </si>
  <si>
    <t>IWU School, Day Nursery and other Care  (4) 1979 - 2009</t>
  </si>
  <si>
    <t>IWU School, Day Nursery and other Care  (4)  2010 - 2030</t>
  </si>
  <si>
    <t>IWU Culture and Leisure (5) 1860 - 1978</t>
  </si>
  <si>
    <t>IWU Culture and Leisure (5) 1979 - 2009</t>
  </si>
  <si>
    <t>IWU Culture and Leisure (5) 2010 - 2030</t>
  </si>
  <si>
    <t>IWU Sports Facilities (6) 1860 - 1978</t>
  </si>
  <si>
    <t>IWU Sports Facilities (6) 1979 - 2009</t>
  </si>
  <si>
    <t>IWU Sports Facilities (6) 2010 - 2030</t>
  </si>
  <si>
    <t>IWU Hotels, Boarding, Restaurants or Catering (7) 1860 - 1978</t>
  </si>
  <si>
    <t>IWU Hotels, Boarding, Restaurants or Catering (7) 1979 - 2009</t>
  </si>
  <si>
    <t>IWU Hotels, Boarding, Restaurants or Catering (7) 2010 - 2030</t>
  </si>
  <si>
    <t>IWU Production, Workshop, Warehouse or Operations (8) 1860 - 1978</t>
  </si>
  <si>
    <t>IWU Production, Workshop, Warehouse or Operations (8) 1979 - 2009</t>
  </si>
  <si>
    <t>IWU Production, Workshop, Warehouse or Operations (8) 2010 - 2030</t>
  </si>
  <si>
    <t>IWU Trade Buildings (9) 1860 - 1978</t>
  </si>
  <si>
    <t>IWU Trade Buildings (9) 1979 - 2009</t>
  </si>
  <si>
    <t>IWU Trade Buildings (9) 2010 - 2030</t>
  </si>
  <si>
    <t>IWU Technical and Utility (supply and disposal) (10) 1860 - 1978</t>
  </si>
  <si>
    <t>IWU Technical and Utility (supply and disposal) (10) 1979 - 2009</t>
  </si>
  <si>
    <t>IWU Technical and Utility (supply and disposal) (10) 2010 - 2030</t>
  </si>
  <si>
    <t>IWU Transport (11)  1860 - 1978</t>
  </si>
  <si>
    <t>IWU Transport (11) 1979 - 2009</t>
  </si>
  <si>
    <t>IWU Transport (11) 2010 - 2030</t>
  </si>
  <si>
    <t>IWU Generalized (1) Services building, Includes categories (1) to (7) and (9)  1860 - 1978</t>
  </si>
  <si>
    <t>IWU Generalized (1) Services building, Includes categories (1) to (7) and (9) 1979 - 2009</t>
  </si>
  <si>
    <t>IWU Generalized (1) Services building, Includes categories (1) to (7) and (9) 2010 - 2030</t>
  </si>
  <si>
    <t>IWU Generalized (2) Production buildings and similar, Includes cat. (8), (10), (11)  1860 - 1978</t>
  </si>
  <si>
    <t>IWU Generalized (2) Production buildings and similar, Includes cat. (8), (10), (11) 1979 - 2009</t>
  </si>
  <si>
    <t>IWU Generalized (2) Production buildings and similar, Includes cat. (8), (10), (11) 2010 - 2030</t>
  </si>
  <si>
    <t>Name</t>
  </si>
  <si>
    <t>ISO 13790</t>
  </si>
  <si>
    <t>Very heavy construction</t>
  </si>
  <si>
    <t>CONSTRUCTION_AS4</t>
  </si>
  <si>
    <t>PHPP mid</t>
  </si>
  <si>
    <t>PHPP heavy</t>
  </si>
  <si>
    <t>CONSTRUCTION_AS5</t>
  </si>
  <si>
    <t>CONSTRUCTION_AS6</t>
  </si>
  <si>
    <t>CONSTRUCTION_AS7</t>
  </si>
  <si>
    <t>PHPP Handbuch</t>
  </si>
  <si>
    <t>PHPP light</t>
  </si>
  <si>
    <t>TIGHTNESS_AS7</t>
  </si>
  <si>
    <t>building stock AT estimation</t>
  </si>
  <si>
    <t>relatively ambitious AT estimation</t>
  </si>
  <si>
    <t>TIGHTNESS_AS8</t>
  </si>
  <si>
    <t>EFH_I</t>
  </si>
  <si>
    <t>RH_I</t>
  </si>
  <si>
    <t>EFH_I_San</t>
  </si>
  <si>
    <t>EFH_I_kaSan</t>
  </si>
  <si>
    <t>EFH_II</t>
  </si>
  <si>
    <t>EFH_III</t>
  </si>
  <si>
    <t>EFH_IV</t>
  </si>
  <si>
    <t>EFH_V</t>
  </si>
  <si>
    <t>EFH_VI</t>
  </si>
  <si>
    <t>EFH_VII</t>
  </si>
  <si>
    <t>EFH_VIII</t>
  </si>
  <si>
    <t>RH_II</t>
  </si>
  <si>
    <t>RH_III</t>
  </si>
  <si>
    <t>RH_IV</t>
  </si>
  <si>
    <t>RH_V</t>
  </si>
  <si>
    <t>RH_VI</t>
  </si>
  <si>
    <t>EFH_II_San</t>
  </si>
  <si>
    <t>EFH_IV_San</t>
  </si>
  <si>
    <t>EFH_VI_San</t>
  </si>
  <si>
    <t>RH_III_San</t>
  </si>
  <si>
    <t>EFH_II_kaSan</t>
  </si>
  <si>
    <t>EFH_IV_kaSan</t>
  </si>
  <si>
    <t>EFH_VI_kaSan</t>
  </si>
  <si>
    <t>RH_III_kaSan</t>
  </si>
  <si>
    <t>EFH_III_San</t>
  </si>
  <si>
    <t>EFH_III_kaSan</t>
  </si>
  <si>
    <t>RH_II_San</t>
  </si>
  <si>
    <t>RH_II_kaSan</t>
  </si>
  <si>
    <t>RH_IV_San</t>
  </si>
  <si>
    <t>RH_IV_kaSan</t>
  </si>
  <si>
    <t>RH_V_San</t>
  </si>
  <si>
    <t>RH_V_kaSan</t>
  </si>
  <si>
    <t>EFH_V_San</t>
  </si>
  <si>
    <t>EFH_V_kaSan</t>
  </si>
  <si>
    <t>RH_I_San</t>
  </si>
  <si>
    <t>RH_I_kaSan</t>
  </si>
  <si>
    <t>RH_VI_San</t>
  </si>
  <si>
    <t>RH_VI_kaSan</t>
  </si>
  <si>
    <t>RH_VII</t>
  </si>
  <si>
    <t>RH_VIII</t>
  </si>
  <si>
    <t>MHF_I</t>
  </si>
  <si>
    <t>MHF_I_San</t>
  </si>
  <si>
    <t>MHF_I_kaSan</t>
  </si>
  <si>
    <t>MHF_II</t>
  </si>
  <si>
    <t>MHF_II_San</t>
  </si>
  <si>
    <t>MHF_II_kaSan</t>
  </si>
  <si>
    <t>MHF_III</t>
  </si>
  <si>
    <t>MHF_III_San</t>
  </si>
  <si>
    <t>MHF_III_kaSan</t>
  </si>
  <si>
    <t>MHF_IV</t>
  </si>
  <si>
    <t>MHF_IV_San</t>
  </si>
  <si>
    <t>MHF_IV_kaSan</t>
  </si>
  <si>
    <t>MHF_V</t>
  </si>
  <si>
    <t>MHF_V_San</t>
  </si>
  <si>
    <t>MHF_V_kaSan</t>
  </si>
  <si>
    <t>MHF_VI</t>
  </si>
  <si>
    <t>MHF_VI_San</t>
  </si>
  <si>
    <t>MHF_VI_kaSan</t>
  </si>
  <si>
    <t>MHF_VII</t>
  </si>
  <si>
    <t>MHF_VIII</t>
  </si>
  <si>
    <t>MWB_I</t>
  </si>
  <si>
    <t>MWB_I_San</t>
  </si>
  <si>
    <t>MWB_I_kaSan</t>
  </si>
  <si>
    <t>MWB_II</t>
  </si>
  <si>
    <t>MWB_II_San</t>
  </si>
  <si>
    <t>MWB_II_kaSan</t>
  </si>
  <si>
    <t>MWB_III</t>
  </si>
  <si>
    <t>MWB_III_San</t>
  </si>
  <si>
    <t>MWB_III_kaSan</t>
  </si>
  <si>
    <t>MWB_IV</t>
  </si>
  <si>
    <t>MWB_IV_San</t>
  </si>
  <si>
    <t>MWB_IV_kaSan</t>
  </si>
  <si>
    <t>MWB_V</t>
  </si>
  <si>
    <t>MWB_V_San</t>
  </si>
  <si>
    <t>MWB_V_kaSan</t>
  </si>
  <si>
    <t>MWB_VI</t>
  </si>
  <si>
    <t>MWB_VI_San</t>
  </si>
  <si>
    <t>MWB_VI_kaSan</t>
  </si>
  <si>
    <t>MWB_VII</t>
  </si>
  <si>
    <t>MWB_VIII</t>
  </si>
  <si>
    <t>WINDOW_NWG_1_A</t>
  </si>
  <si>
    <t>ROOF_NWG_1_A</t>
  </si>
  <si>
    <t>WALL_NWG_1_A</t>
  </si>
  <si>
    <t>FLOOR_NWG_1_A</t>
  </si>
  <si>
    <t>BASE_NWG_1_A</t>
  </si>
  <si>
    <t>SHADING_DE1</t>
  </si>
  <si>
    <t>WINDOW_NWG_1_B</t>
  </si>
  <si>
    <t>ROOF_NWG_1_B</t>
  </si>
  <si>
    <t>WALL_NWG_1_B</t>
  </si>
  <si>
    <t>FLOOR_NWG_1_B</t>
  </si>
  <si>
    <t>BASE_NWG_1_B</t>
  </si>
  <si>
    <t>WINDOW_NWG_1_C</t>
  </si>
  <si>
    <t>ROOF_NWG_1_C</t>
  </si>
  <si>
    <t>WALL_NWG_1_C</t>
  </si>
  <si>
    <t>FLOOR_NWG_1_C</t>
  </si>
  <si>
    <t>BASE_NWG_1_C</t>
  </si>
  <si>
    <t>WINDOW_NWG_2_A</t>
  </si>
  <si>
    <t>ROOF_NWG_2_A</t>
  </si>
  <si>
    <t>WALL_NWG_2_A</t>
  </si>
  <si>
    <t>FLOOR_NWG_2_A</t>
  </si>
  <si>
    <t>BASE_NWG_2_A</t>
  </si>
  <si>
    <t>WINDOW_NWG_2_B</t>
  </si>
  <si>
    <t>ROOF_NWG_2_B</t>
  </si>
  <si>
    <t>WALL_NWG_2_B</t>
  </si>
  <si>
    <t>FLOOR_NWG_2_B</t>
  </si>
  <si>
    <t>BASE_NWG_2_B</t>
  </si>
  <si>
    <t>WINDOW_NWG_2_C</t>
  </si>
  <si>
    <t>ROOF_NWG_2_C</t>
  </si>
  <si>
    <t>WALL_NWG_2_C</t>
  </si>
  <si>
    <t>FLOOR_NWG_2_C</t>
  </si>
  <si>
    <t>BASE_NWG_2_C</t>
  </si>
  <si>
    <t>WINDOW_NWG_3_A</t>
  </si>
  <si>
    <t>ROOF_NWG_3_A</t>
  </si>
  <si>
    <t>WALL_NWG_3_A</t>
  </si>
  <si>
    <t>FLOOR_NWG_3_A</t>
  </si>
  <si>
    <t>BASE_NWG_3_A</t>
  </si>
  <si>
    <t>WINDOW_NWG_3_B</t>
  </si>
  <si>
    <t>ROOF_NWG_3_B</t>
  </si>
  <si>
    <t>WALL_NWG_3_B</t>
  </si>
  <si>
    <t>FLOOR_NWG_3_B</t>
  </si>
  <si>
    <t>BASE_NWG_3_B</t>
  </si>
  <si>
    <t>WINDOW_NWG_3_C</t>
  </si>
  <si>
    <t>ROOF_NWG_3_C</t>
  </si>
  <si>
    <t>WALL_NWG_3_C</t>
  </si>
  <si>
    <t>FLOOR_NWG_3_C</t>
  </si>
  <si>
    <t>BASE_NWG_3_C</t>
  </si>
  <si>
    <t>WINDOW_NWG_4_A</t>
  </si>
  <si>
    <t>ROOF_NWG_4_A</t>
  </si>
  <si>
    <t>WALL_NWG_4_A</t>
  </si>
  <si>
    <t>FLOOR_NWG_4_A</t>
  </si>
  <si>
    <t>BASE_NWG_4_A</t>
  </si>
  <si>
    <t>WINDOW_NWG_4_B</t>
  </si>
  <si>
    <t>ROOF_NWG_4_B</t>
  </si>
  <si>
    <t>WALL_NWG_4_B</t>
  </si>
  <si>
    <t>FLOOR_NWG_4_B</t>
  </si>
  <si>
    <t>BASE_NWG_4_B</t>
  </si>
  <si>
    <t>WINDOW_NWG_4_C</t>
  </si>
  <si>
    <t>ROOF_NWG_4_C</t>
  </si>
  <si>
    <t>WALL_NWG_4_C</t>
  </si>
  <si>
    <t>FLOOR_NWG_4_C</t>
  </si>
  <si>
    <t>BASE_NWG_4_C</t>
  </si>
  <si>
    <t>WINDOW_NWG_5_A</t>
  </si>
  <si>
    <t>ROOF_NWG_5_A</t>
  </si>
  <si>
    <t>WALL_NWG_5_A</t>
  </si>
  <si>
    <t>FLOOR_NWG_5_A</t>
  </si>
  <si>
    <t>BASE_NWG_5_A</t>
  </si>
  <si>
    <t>WINDOW_NWG_5_B</t>
  </si>
  <si>
    <t>ROOF_NWG_5_B</t>
  </si>
  <si>
    <t>WALL_NWG_5_B</t>
  </si>
  <si>
    <t>FLOOR_NWG_5_B</t>
  </si>
  <si>
    <t>BASE_NWG_5_B</t>
  </si>
  <si>
    <t>WINDOW_NWG_5_C</t>
  </si>
  <si>
    <t>ROOF_NWG_5_C</t>
  </si>
  <si>
    <t>WALL_NWG_5_C</t>
  </si>
  <si>
    <t>FLOOR_NWG_5_C</t>
  </si>
  <si>
    <t>BASE_NWG_5_C</t>
  </si>
  <si>
    <t>WINDOW_NWG_6_A</t>
  </si>
  <si>
    <t>ROOF_NWG_6_A</t>
  </si>
  <si>
    <t>WALL_NWG_6_A</t>
  </si>
  <si>
    <t>FLOOR_NWG_6_A</t>
  </si>
  <si>
    <t>BASE_NWG_6_A</t>
  </si>
  <si>
    <t>WINDOW_NWG_6_B</t>
  </si>
  <si>
    <t>ROOF_NWG_6_B</t>
  </si>
  <si>
    <t>WALL_NWG_6_B</t>
  </si>
  <si>
    <t>FLOOR_NWG_6_B</t>
  </si>
  <si>
    <t>BASE_NWG_6_B</t>
  </si>
  <si>
    <t>WINDOW_NWG_6_C</t>
  </si>
  <si>
    <t>ROOF_NWG_6_C</t>
  </si>
  <si>
    <t>WALL_NWG_6_C</t>
  </si>
  <si>
    <t>FLOOR_NWG_6_C</t>
  </si>
  <si>
    <t>BASE_NWG_6_C</t>
  </si>
  <si>
    <t>WINDOW_NWG_7_A</t>
  </si>
  <si>
    <t>ROOF_NWG_7_A</t>
  </si>
  <si>
    <t>WALL_NWG_7_A</t>
  </si>
  <si>
    <t>FLOOR_NWG_7_A</t>
  </si>
  <si>
    <t>BASE_NWG_7_A</t>
  </si>
  <si>
    <t>WINDOW_NWG_7_B</t>
  </si>
  <si>
    <t>ROOF_NWG_7_B</t>
  </si>
  <si>
    <t>WALL_NWG_7_B</t>
  </si>
  <si>
    <t>FLOOR_NWG_7_B</t>
  </si>
  <si>
    <t>BASE_NWG_7_B</t>
  </si>
  <si>
    <t>WINDOW_NWG_7_C</t>
  </si>
  <si>
    <t>ROOF_NWG_7_C</t>
  </si>
  <si>
    <t>WALL_NWG_7_C</t>
  </si>
  <si>
    <t>FLOOR_NWG_7_C</t>
  </si>
  <si>
    <t>BASE_NWG_7_C</t>
  </si>
  <si>
    <t>WINDOW_NWG_8_A</t>
  </si>
  <si>
    <t>ROOF_NWG_8_A</t>
  </si>
  <si>
    <t>WALL_NWG_8_A</t>
  </si>
  <si>
    <t>FLOOR_NWG_8_A</t>
  </si>
  <si>
    <t>BASE_NWG_8_A</t>
  </si>
  <si>
    <t>WINDOW_NWG_8_B</t>
  </si>
  <si>
    <t>ROOF_NWG_8_B</t>
  </si>
  <si>
    <t>WALL_NWG_8_B</t>
  </si>
  <si>
    <t>FLOOR_NWG_8_B</t>
  </si>
  <si>
    <t>BASE_NWG_8_B</t>
  </si>
  <si>
    <t>WINDOW_NWG_8_C</t>
  </si>
  <si>
    <t>ROOF_NWG_8_C</t>
  </si>
  <si>
    <t>WALL_NWG_8_C</t>
  </si>
  <si>
    <t>FLOOR_NWG_8_C</t>
  </si>
  <si>
    <t>BASE_NWG_8_C</t>
  </si>
  <si>
    <t>WINDOW_NWG_9_A</t>
  </si>
  <si>
    <t>ROOF_NWG_9_A</t>
  </si>
  <si>
    <t>WALL_NWG_9_A</t>
  </si>
  <si>
    <t>FLOOR_NWG_9_A</t>
  </si>
  <si>
    <t>BASE_NWG_9_A</t>
  </si>
  <si>
    <t>WINDOW_NWG_9_B</t>
  </si>
  <si>
    <t>ROOF_NWG_9_B</t>
  </si>
  <si>
    <t>WALL_NWG_9_B</t>
  </si>
  <si>
    <t>FLOOR_NWG_9_B</t>
  </si>
  <si>
    <t>BASE_NWG_9_B</t>
  </si>
  <si>
    <t>WINDOW_NWG_9_C</t>
  </si>
  <si>
    <t>ROOF_NWG_9_C</t>
  </si>
  <si>
    <t>WALL_NWG_9_C</t>
  </si>
  <si>
    <t>FLOOR_NWG_9_C</t>
  </si>
  <si>
    <t>BASE_NWG_9_C</t>
  </si>
  <si>
    <t>WINDOW_NWG_10_A</t>
  </si>
  <si>
    <t>ROOF_NWG_10_A</t>
  </si>
  <si>
    <t>WALL_NWG_10_A</t>
  </si>
  <si>
    <t>FLOOR_NWG_10_A</t>
  </si>
  <si>
    <t>BASE_NWG_10_A</t>
  </si>
  <si>
    <t>WINDOW_NWG_10_B</t>
  </si>
  <si>
    <t>ROOF_NWG_10_B</t>
  </si>
  <si>
    <t>WALL_NWG_10_B</t>
  </si>
  <si>
    <t>FLOOR_NWG_10_B</t>
  </si>
  <si>
    <t>BASE_NWG_10_B</t>
  </si>
  <si>
    <t>WINDOW_NWG_10_C</t>
  </si>
  <si>
    <t>ROOF_NWG_10_C</t>
  </si>
  <si>
    <t>WALL_NWG_10_C</t>
  </si>
  <si>
    <t>FLOOR_NWG_10_C</t>
  </si>
  <si>
    <t>BASE_NWG_10_C</t>
  </si>
  <si>
    <t>WINDOW_NWG_11_A</t>
  </si>
  <si>
    <t>ROOF_NWG_11_A</t>
  </si>
  <si>
    <t>WALL_NWG_11_A</t>
  </si>
  <si>
    <t>FLOOR_NWG_11_A</t>
  </si>
  <si>
    <t>BASE_NWG_11_A</t>
  </si>
  <si>
    <t>WINDOW_NWG_11_B</t>
  </si>
  <si>
    <t>ROOF_NWG_11_B</t>
  </si>
  <si>
    <t>WALL_NWG_11_B</t>
  </si>
  <si>
    <t>FLOOR_NWG_11_B</t>
  </si>
  <si>
    <t>BASE_NWG_11_B</t>
  </si>
  <si>
    <t>WINDOW_NWG_11_C</t>
  </si>
  <si>
    <t>ROOF_NWG_11_C</t>
  </si>
  <si>
    <t>WALL_NWG_11_C</t>
  </si>
  <si>
    <t>FLOOR_NWG_11_C</t>
  </si>
  <si>
    <t>BASE_NWG_11_C</t>
  </si>
  <si>
    <t>WINDOW_NWG_G1_A</t>
  </si>
  <si>
    <t>ROOF_NWG_G1_A</t>
  </si>
  <si>
    <t>WALL_NWG_G1_A</t>
  </si>
  <si>
    <t>FLOOR_NWG_G1_A</t>
  </si>
  <si>
    <t>BASE_NWG_G1_A</t>
  </si>
  <si>
    <t>WINDOW_NWG_G1_B</t>
  </si>
  <si>
    <t>ROOF_NWG_G1_B</t>
  </si>
  <si>
    <t>WALL_NWG_G1_B</t>
  </si>
  <si>
    <t>FLOOR_NWG_G1_B</t>
  </si>
  <si>
    <t>BASE_NWG_G1_B</t>
  </si>
  <si>
    <t>WINDOW_NWG_G1_C</t>
  </si>
  <si>
    <t>ROOF_NWG_G1_C</t>
  </si>
  <si>
    <t>WALL_NWG_G1_C</t>
  </si>
  <si>
    <t>FLOOR_NWG_G1_C</t>
  </si>
  <si>
    <t>BASE_NWG_G1_C</t>
  </si>
  <si>
    <t>WINDOW_NWG_G2_A</t>
  </si>
  <si>
    <t>ROOF_NWG_G2_A</t>
  </si>
  <si>
    <t>WALL_NWG_G2_A</t>
  </si>
  <si>
    <t>FLOOR_NWG_G2_A</t>
  </si>
  <si>
    <t>BASE_NWG_G2_A</t>
  </si>
  <si>
    <t>WINDOW_NWG_G2_B</t>
  </si>
  <si>
    <t>ROOF_NWG_G2_B</t>
  </si>
  <si>
    <t>WALL_NWG_G2_B</t>
  </si>
  <si>
    <t>FLOOR_NWG_G2_B</t>
  </si>
  <si>
    <t>BASE_NWG_G2_B</t>
  </si>
  <si>
    <t>WINDOW_NWG_G2_C</t>
  </si>
  <si>
    <t>ROOF_NWG_G2_C</t>
  </si>
  <si>
    <t>WALL_NWG_G2_C</t>
  </si>
  <si>
    <t>FLOOR_NWG_G2_C</t>
  </si>
  <si>
    <t>BASE_NWG_G2_C</t>
  </si>
  <si>
    <t>WINDOW_EFH_I</t>
  </si>
  <si>
    <t>WINDOW_EFH_I_San</t>
  </si>
  <si>
    <t>WINDOW_EFH_I_kaSan</t>
  </si>
  <si>
    <t>WINDOW_EFH_II</t>
  </si>
  <si>
    <t>WINDOW_EFH_II_San</t>
  </si>
  <si>
    <t>WINDOW_EFH_II_kaSan</t>
  </si>
  <si>
    <t>WINDOW_EFH_III</t>
  </si>
  <si>
    <t>WINDOW_EFH_III_San</t>
  </si>
  <si>
    <t>WINDOW_EFH_III_kaSan</t>
  </si>
  <si>
    <t>WINDOW_EFH_IV</t>
  </si>
  <si>
    <t>WINDOW_EFH_IV_San</t>
  </si>
  <si>
    <t>WINDOW_EFH_IV_kaSan</t>
  </si>
  <si>
    <t>WINDOW_EFH_V</t>
  </si>
  <si>
    <t>WINDOW_EFH_V_San</t>
  </si>
  <si>
    <t>WINDOW_EFH_V_kaSan</t>
  </si>
  <si>
    <t>WINDOW_EFH_VI</t>
  </si>
  <si>
    <t>WINDOW_EFH_VI_San</t>
  </si>
  <si>
    <t>WINDOW_EFH_VI_kaSan</t>
  </si>
  <si>
    <t>WINDOW_EFH_VII</t>
  </si>
  <si>
    <t>WINDOW_EFH_VIII</t>
  </si>
  <si>
    <t>WINDOW_RH_I</t>
  </si>
  <si>
    <t>WINDOW_RH_I_San</t>
  </si>
  <si>
    <t>WINDOW_RH_I_kaSan</t>
  </si>
  <si>
    <t>WINDOW_RH_II</t>
  </si>
  <si>
    <t>WINDOW_RH_II_San</t>
  </si>
  <si>
    <t>WINDOW_RH_II_kaSan</t>
  </si>
  <si>
    <t>WINDOW_RH_III</t>
  </si>
  <si>
    <t>WINDOW_RH_III_San</t>
  </si>
  <si>
    <t>WINDOW_RH_III_kaSan</t>
  </si>
  <si>
    <t>WINDOW_RH_IV</t>
  </si>
  <si>
    <t>WINDOW_RH_IV_San</t>
  </si>
  <si>
    <t>WINDOW_RH_IV_kaSan</t>
  </si>
  <si>
    <t>WINDOW_RH_V</t>
  </si>
  <si>
    <t>WINDOW_RH_V_San</t>
  </si>
  <si>
    <t>WINDOW_RH_V_kaSan</t>
  </si>
  <si>
    <t>WINDOW_RH_VI</t>
  </si>
  <si>
    <t>WINDOW_RH_VI_San</t>
  </si>
  <si>
    <t>WINDOW_RH_VI_kaSan</t>
  </si>
  <si>
    <t>WINDOW_RH_VII</t>
  </si>
  <si>
    <t>WINDOW_RH_VIII</t>
  </si>
  <si>
    <t>WINDOW_MHF_I</t>
  </si>
  <si>
    <t>WINDOW_MHF_I_San</t>
  </si>
  <si>
    <t>WINDOW_MHF_I_kaSan</t>
  </si>
  <si>
    <t>WINDOW_MHF_II</t>
  </si>
  <si>
    <t>WINDOW_MHF_II_San</t>
  </si>
  <si>
    <t>WINDOW_MHF_II_kaSan</t>
  </si>
  <si>
    <t>WINDOW_MHF_III</t>
  </si>
  <si>
    <t>WINDOW_MHF_III_San</t>
  </si>
  <si>
    <t>WINDOW_MHF_III_kaSan</t>
  </si>
  <si>
    <t>WINDOW_MHF_IV</t>
  </si>
  <si>
    <t>WINDOW_MHF_IV_San</t>
  </si>
  <si>
    <t>WINDOW_MHF_IV_kaSan</t>
  </si>
  <si>
    <t>WINDOW_MHF_V</t>
  </si>
  <si>
    <t>WINDOW_MHF_V_San</t>
  </si>
  <si>
    <t>WINDOW_MHF_V_kaSan</t>
  </si>
  <si>
    <t>WINDOW_MHF_VI</t>
  </si>
  <si>
    <t>WINDOW_MHF_VI_San</t>
  </si>
  <si>
    <t>WINDOW_MHF_VI_kaSan</t>
  </si>
  <si>
    <t>WINDOW_MHF_VII</t>
  </si>
  <si>
    <t>WINDOW_MHF_VIII</t>
  </si>
  <si>
    <t>WINDOW_MWB_I</t>
  </si>
  <si>
    <t>WINDOW_MWB_I_San</t>
  </si>
  <si>
    <t>WINDOW_MWB_I_kaSan</t>
  </si>
  <si>
    <t>WINDOW_MWB_II</t>
  </si>
  <si>
    <t>WINDOW_MWB_II_San</t>
  </si>
  <si>
    <t>WINDOW_MWB_II_kaSan</t>
  </si>
  <si>
    <t>WINDOW_MWB_III</t>
  </si>
  <si>
    <t>WINDOW_MWB_III_San</t>
  </si>
  <si>
    <t>WINDOW_MWB_III_kaSan</t>
  </si>
  <si>
    <t>WINDOW_MWB_IV</t>
  </si>
  <si>
    <t>WINDOW_MWB_IV_San</t>
  </si>
  <si>
    <t>WINDOW_MWB_IV_kaSan</t>
  </si>
  <si>
    <t>WINDOW_MWB_V</t>
  </si>
  <si>
    <t>WINDOW_MWB_V_San</t>
  </si>
  <si>
    <t>WINDOW_MWB_V_kaSan</t>
  </si>
  <si>
    <t>WINDOW_MWB_VI</t>
  </si>
  <si>
    <t>WINDOW_MWB_VI_San</t>
  </si>
  <si>
    <t>WINDOW_MWB_VI_kaSan</t>
  </si>
  <si>
    <t>WINDOW_MWB_VII</t>
  </si>
  <si>
    <t>WINDOW_MWB_VIII</t>
  </si>
  <si>
    <t>EFH_I lt. Tabula/Episcope Austria</t>
  </si>
  <si>
    <t>EFH_I_San lt. Tabula/Episcope Austria</t>
  </si>
  <si>
    <t>EFH_I_kaSan lt. Tabula/Episcope Austria</t>
  </si>
  <si>
    <t>EFH_II lt. Tabula/Episcope Austria</t>
  </si>
  <si>
    <t>EFH_II_San lt. Tabula/Episcope Austria</t>
  </si>
  <si>
    <t>EFH_II_kaSan lt. Tabula/Episcope Austria</t>
  </si>
  <si>
    <t>EFH_III lt. Tabula/Episcope Austria</t>
  </si>
  <si>
    <t>EFH_III_San lt. Tabula/Episcope Austria</t>
  </si>
  <si>
    <t>EFH_III_kaSan lt. Tabula/Episcope Austria</t>
  </si>
  <si>
    <t>EFH_IV lt. Tabula/Episcope Austria</t>
  </si>
  <si>
    <t>EFH_IV_San lt. Tabula/Episcope Austria</t>
  </si>
  <si>
    <t>EFH_IV_kaSan lt. Tabula/Episcope Austria</t>
  </si>
  <si>
    <t>EFH_V lt. Tabula/Episcope Austria</t>
  </si>
  <si>
    <t>EFH_V_San lt. Tabula/Episcope Austria</t>
  </si>
  <si>
    <t>EFH_V_kaSan lt. Tabula/Episcope Austria</t>
  </si>
  <si>
    <t>EFH_VI lt. Tabula/Episcope Austria</t>
  </si>
  <si>
    <t>EFH_VI_San lt. Tabula/Episcope Austria</t>
  </si>
  <si>
    <t>EFH_VI_kaSan lt. Tabula/Episcope Austria</t>
  </si>
  <si>
    <t>EFH_VII lt. Tabula/Episcope Austria</t>
  </si>
  <si>
    <t>EFH_VIII lt. Tabula/Episcope Austria</t>
  </si>
  <si>
    <t>RH_I lt. Tabula/Episcope Austria</t>
  </si>
  <si>
    <t>RH_I_San lt. Tabula/Episcope Austria</t>
  </si>
  <si>
    <t>RH_I_kaSan lt. Tabula/Episcope Austria</t>
  </si>
  <si>
    <t>RH_II lt. Tabula/Episcope Austria</t>
  </si>
  <si>
    <t>RH_II_San lt. Tabula/Episcope Austria</t>
  </si>
  <si>
    <t>RH_II_kaSan lt. Tabula/Episcope Austria</t>
  </si>
  <si>
    <t>RH_III lt. Tabula/Episcope Austria</t>
  </si>
  <si>
    <t>RH_III_San lt. Tabula/Episcope Austria</t>
  </si>
  <si>
    <t>RH_III_kaSan lt. Tabula/Episcope Austria</t>
  </si>
  <si>
    <t>RH_IV lt. Tabula/Episcope Austria</t>
  </si>
  <si>
    <t>RH_IV_San lt. Tabula/Episcope Austria</t>
  </si>
  <si>
    <t>RH_IV_kaSan lt. Tabula/Episcope Austria</t>
  </si>
  <si>
    <t>RH_V lt. Tabula/Episcope Austria</t>
  </si>
  <si>
    <t>RH_V_San lt. Tabula/Episcope Austria</t>
  </si>
  <si>
    <t>RH_V_kaSan lt. Tabula/Episcope Austria</t>
  </si>
  <si>
    <t>RH_VI lt. Tabula/Episcope Austria</t>
  </si>
  <si>
    <t>RH_VI_San lt. Tabula/Episcope Austria</t>
  </si>
  <si>
    <t>RH_VI_kaSan lt. Tabula/Episcope Austria</t>
  </si>
  <si>
    <t>RH_VII lt. Tabula/Episcope Austria</t>
  </si>
  <si>
    <t>RH_VIII lt. Tabula/Episcope Austria</t>
  </si>
  <si>
    <t>MHF_I lt. Tabula/Episcope Austria</t>
  </si>
  <si>
    <t>MHF_I_San lt. Tabula/Episcope Austria</t>
  </si>
  <si>
    <t>MHF_I_kaSan lt. Tabula/Episcope Austria</t>
  </si>
  <si>
    <t>MHF_II lt. Tabula/Episcope Austria</t>
  </si>
  <si>
    <t>MHF_II_San lt. Tabula/Episcope Austria</t>
  </si>
  <si>
    <t>MHF_II_kaSan lt. Tabula/Episcope Austria</t>
  </si>
  <si>
    <t>MHF_III lt. Tabula/Episcope Austria</t>
  </si>
  <si>
    <t>MHF_III_San lt. Tabula/Episcope Austria</t>
  </si>
  <si>
    <t>MHF_III_kaSan lt. Tabula/Episcope Austria</t>
  </si>
  <si>
    <t>MHF_IV lt. Tabula/Episcope Austria</t>
  </si>
  <si>
    <t>MHF_IV_San lt. Tabula/Episcope Austria</t>
  </si>
  <si>
    <t>MHF_IV_kaSan lt. Tabula/Episcope Austria</t>
  </si>
  <si>
    <t>MHF_V lt. Tabula/Episcope Austria</t>
  </si>
  <si>
    <t>MHF_V_San lt. Tabula/Episcope Austria</t>
  </si>
  <si>
    <t>MHF_V_kaSan lt. Tabula/Episcope Austria</t>
  </si>
  <si>
    <t>MHF_VI lt. Tabula/Episcope Austria</t>
  </si>
  <si>
    <t>MHF_VI_San lt. Tabula/Episcope Austria</t>
  </si>
  <si>
    <t>MHF_VI_kaSan lt. Tabula/Episcope Austria</t>
  </si>
  <si>
    <t>MHF_VII lt. Tabula/Episcope Austria</t>
  </si>
  <si>
    <t>MHF_VIII lt. Tabula/Episcope Austria</t>
  </si>
  <si>
    <t>MWB_I lt. Tabula/Episcope Austria</t>
  </si>
  <si>
    <t>MWB_I_San lt. Tabula/Episcope Austria</t>
  </si>
  <si>
    <t>MWB_I_kaSan lt. Tabula/Episcope Austria</t>
  </si>
  <si>
    <t>MWB_II lt. Tabula/Episcope Austria</t>
  </si>
  <si>
    <t>MWB_II_San lt. Tabula/Episcope Austria</t>
  </si>
  <si>
    <t>MWB_II_kaSan lt. Tabula/Episcope Austria</t>
  </si>
  <si>
    <t>MWB_III lt. Tabula/Episcope Austria</t>
  </si>
  <si>
    <t>MWB_III_San lt. Tabula/Episcope Austria</t>
  </si>
  <si>
    <t>MWB_III_kaSan lt. Tabula/Episcope Austria</t>
  </si>
  <si>
    <t>MWB_IV lt. Tabula/Episcope Austria</t>
  </si>
  <si>
    <t>MWB_IV_San lt. Tabula/Episcope Austria</t>
  </si>
  <si>
    <t>MWB_IV_kaSan lt. Tabula/Episcope Austria</t>
  </si>
  <si>
    <t>MWB_V lt. Tabula/Episcope Austria</t>
  </si>
  <si>
    <t>MWB_V_San lt. Tabula/Episcope Austria</t>
  </si>
  <si>
    <t>MWB_V_kaSan lt. Tabula/Episcope Austria</t>
  </si>
  <si>
    <t>MWB_VI lt. Tabula/Episcope Austria</t>
  </si>
  <si>
    <t>MWB_VI_San lt. Tabula/Episcope Austria</t>
  </si>
  <si>
    <t>MWB_VI_kaSan lt. Tabula/Episcope Austria</t>
  </si>
  <si>
    <t>MWB_VII lt. Tabula/Episcope Austria</t>
  </si>
  <si>
    <t>MWB_VIII lt. Tabula/Episcope Austria</t>
  </si>
  <si>
    <t>NWG_1_A lt. IWU DE</t>
  </si>
  <si>
    <t>NWG_1_B lt. IWU DE</t>
  </si>
  <si>
    <t>NWG_1_C lt. IWU DE</t>
  </si>
  <si>
    <t>NWG_2_A lt. IWU DE</t>
  </si>
  <si>
    <t>NWG_2_B lt. IWU DE</t>
  </si>
  <si>
    <t>NWG_2_C lt. IWU DE</t>
  </si>
  <si>
    <t>NWG_3_A lt. IWU DE</t>
  </si>
  <si>
    <t>NWG_3_B lt. IWU DE</t>
  </si>
  <si>
    <t>NWG_3_C lt. IWU DE</t>
  </si>
  <si>
    <t>NWG_4_A lt. IWU DE</t>
  </si>
  <si>
    <t>NWG_4_B lt. IWU DE</t>
  </si>
  <si>
    <t>NWG_4_C lt. IWU DE</t>
  </si>
  <si>
    <t>NWG_5_A lt. IWU DE</t>
  </si>
  <si>
    <t>NWG_5_B lt. IWU DE</t>
  </si>
  <si>
    <t>NWG_5_C lt. IWU DE</t>
  </si>
  <si>
    <t>NWG_6_A lt. IWU DE</t>
  </si>
  <si>
    <t>NWG_6_B lt. IWU DE</t>
  </si>
  <si>
    <t>NWG_6_C lt. IWU DE</t>
  </si>
  <si>
    <t>NWG_7_A lt. IWU DE</t>
  </si>
  <si>
    <t>NWG_7_B lt. IWU DE</t>
  </si>
  <si>
    <t>NWG_7_C lt. IWU DE</t>
  </si>
  <si>
    <t>NWG_8_A lt. IWU DE</t>
  </si>
  <si>
    <t>NWG_8_B lt. IWU DE</t>
  </si>
  <si>
    <t>NWG_8_C lt. IWU DE</t>
  </si>
  <si>
    <t>NWG_9_A lt. IWU DE</t>
  </si>
  <si>
    <t>NWG_9_B lt. IWU DE</t>
  </si>
  <si>
    <t>NWG_9_C lt. IWU DE</t>
  </si>
  <si>
    <t>NWG_10_A lt. IWU DE</t>
  </si>
  <si>
    <t>NWG_10_B lt. IWU DE</t>
  </si>
  <si>
    <t>NWG_10_C lt. IWU DE</t>
  </si>
  <si>
    <t>NWG_11_A lt. IWU DE</t>
  </si>
  <si>
    <t>NWG_11_B lt. IWU DE</t>
  </si>
  <si>
    <t>NWG_11_C lt. IWU DE</t>
  </si>
  <si>
    <t>NWG_G1_A lt. IWU DE</t>
  </si>
  <si>
    <t>NWG_G1_B lt. IWU DE</t>
  </si>
  <si>
    <t>NWG_G1_C lt. IWU DE</t>
  </si>
  <si>
    <t>NWG_G2_A lt. IWU DE</t>
  </si>
  <si>
    <t>NWG_G2_B lt. IWU DE</t>
  </si>
  <si>
    <t>NWG_G2_C lt. IWU DE</t>
  </si>
  <si>
    <t>WALL_EFH_I</t>
  </si>
  <si>
    <t>WALL_EFH_I_San</t>
  </si>
  <si>
    <t>WALL_EFH_I_kaSan</t>
  </si>
  <si>
    <t>WALL_EFH_II</t>
  </si>
  <si>
    <t>WALL_EFH_II_San</t>
  </si>
  <si>
    <t>WALL_EFH_II_kaSan</t>
  </si>
  <si>
    <t>WALL_EFH_III</t>
  </si>
  <si>
    <t>WALL_EFH_III_San</t>
  </si>
  <si>
    <t>WALL_EFH_III_kaSan</t>
  </si>
  <si>
    <t>WALL_EFH_IV</t>
  </si>
  <si>
    <t>WALL_EFH_IV_San</t>
  </si>
  <si>
    <t>WALL_EFH_IV_kaSan</t>
  </si>
  <si>
    <t>WALL_EFH_V</t>
  </si>
  <si>
    <t>WALL_EFH_V_San</t>
  </si>
  <si>
    <t>WALL_EFH_V_kaSan</t>
  </si>
  <si>
    <t>WALL_EFH_VI</t>
  </si>
  <si>
    <t>WALL_EFH_VI_San</t>
  </si>
  <si>
    <t>WALL_EFH_VI_kaSan</t>
  </si>
  <si>
    <t>WALL_EFH_VII</t>
  </si>
  <si>
    <t>WALL_EFH_VIII</t>
  </si>
  <si>
    <t>WALL_RH_I</t>
  </si>
  <si>
    <t>WALL_RH_I_San</t>
  </si>
  <si>
    <t>WALL_RH_I_kaSan</t>
  </si>
  <si>
    <t>WALL_RH_II</t>
  </si>
  <si>
    <t>WALL_RH_II_San</t>
  </si>
  <si>
    <t>WALL_RH_II_kaSan</t>
  </si>
  <si>
    <t>WALL_RH_III</t>
  </si>
  <si>
    <t>WALL_RH_III_San</t>
  </si>
  <si>
    <t>WALL_RH_III_kaSan</t>
  </si>
  <si>
    <t>WALL_RH_IV</t>
  </si>
  <si>
    <t>WALL_RH_IV_San</t>
  </si>
  <si>
    <t>WALL_RH_IV_kaSan</t>
  </si>
  <si>
    <t>WALL_RH_V</t>
  </si>
  <si>
    <t>WALL_RH_V_San</t>
  </si>
  <si>
    <t>WALL_RH_V_kaSan</t>
  </si>
  <si>
    <t>WALL_RH_VI</t>
  </si>
  <si>
    <t>WALL_RH_VI_San</t>
  </si>
  <si>
    <t>WALL_RH_VI_kaSan</t>
  </si>
  <si>
    <t>WALL_RH_VII</t>
  </si>
  <si>
    <t>WALL_RH_VIII</t>
  </si>
  <si>
    <t>WALL_MHF_I</t>
  </si>
  <si>
    <t>WALL_MHF_I_San</t>
  </si>
  <si>
    <t>WALL_MHF_I_kaSan</t>
  </si>
  <si>
    <t>WALL_MHF_II</t>
  </si>
  <si>
    <t>WALL_MHF_II_San</t>
  </si>
  <si>
    <t>WALL_MHF_II_kaSan</t>
  </si>
  <si>
    <t>WALL_MHF_III</t>
  </si>
  <si>
    <t>WALL_MHF_III_San</t>
  </si>
  <si>
    <t>WALL_MHF_III_kaSan</t>
  </si>
  <si>
    <t>WALL_MHF_IV</t>
  </si>
  <si>
    <t>WALL_MHF_IV_San</t>
  </si>
  <si>
    <t>WALL_MHF_IV_kaSan</t>
  </si>
  <si>
    <t>WALL_MHF_V</t>
  </si>
  <si>
    <t>WALL_MHF_V_San</t>
  </si>
  <si>
    <t>WALL_MHF_V_kaSan</t>
  </si>
  <si>
    <t>WALL_MHF_VI</t>
  </si>
  <si>
    <t>WALL_MHF_VI_San</t>
  </si>
  <si>
    <t>WALL_MHF_VI_kaSan</t>
  </si>
  <si>
    <t>WALL_MHF_VII</t>
  </si>
  <si>
    <t>WALL_MHF_VIII</t>
  </si>
  <si>
    <t>WALL_MWB_I</t>
  </si>
  <si>
    <t>WALL_MWB_I_San</t>
  </si>
  <si>
    <t>WALL_MWB_I_kaSan</t>
  </si>
  <si>
    <t>WALL_MWB_II</t>
  </si>
  <si>
    <t>WALL_MWB_II_San</t>
  </si>
  <si>
    <t>WALL_MWB_II_kaSan</t>
  </si>
  <si>
    <t>WALL_MWB_III</t>
  </si>
  <si>
    <t>WALL_MWB_III_San</t>
  </si>
  <si>
    <t>WALL_MWB_III_kaSan</t>
  </si>
  <si>
    <t>WALL_MWB_IV</t>
  </si>
  <si>
    <t>WALL_MWB_IV_San</t>
  </si>
  <si>
    <t>WALL_MWB_IV_kaSan</t>
  </si>
  <si>
    <t>WALL_MWB_V</t>
  </si>
  <si>
    <t>WALL_MWB_V_San</t>
  </si>
  <si>
    <t>WALL_MWB_V_kaSan</t>
  </si>
  <si>
    <t>WALL_MWB_VI</t>
  </si>
  <si>
    <t>WALL_MWB_VI_San</t>
  </si>
  <si>
    <t>WALL_MWB_VI_kaSan</t>
  </si>
  <si>
    <t>WALL_MWB_VII</t>
  </si>
  <si>
    <t>WALL_MWB_VIII</t>
  </si>
  <si>
    <t>ROOF_EFH_I</t>
  </si>
  <si>
    <t>ROOF_EFH_I_San</t>
  </si>
  <si>
    <t>ROOF_EFH_I_kaSan</t>
  </si>
  <si>
    <t>ROOF_EFH_II</t>
  </si>
  <si>
    <t>ROOF_EFH_II_San</t>
  </si>
  <si>
    <t>ROOF_EFH_II_kaSan</t>
  </si>
  <si>
    <t>ROOF_EFH_III</t>
  </si>
  <si>
    <t>ROOF_EFH_III_San</t>
  </si>
  <si>
    <t>ROOF_EFH_III_kaSan</t>
  </si>
  <si>
    <t>ROOF_EFH_IV</t>
  </si>
  <si>
    <t>ROOF_EFH_IV_San</t>
  </si>
  <si>
    <t>ROOF_EFH_IV_kaSan</t>
  </si>
  <si>
    <t>ROOF_EFH_V</t>
  </si>
  <si>
    <t>ROOF_EFH_V_San</t>
  </si>
  <si>
    <t>ROOF_EFH_V_kaSan</t>
  </si>
  <si>
    <t>ROOF_EFH_VI</t>
  </si>
  <si>
    <t>ROOF_EFH_VI_San</t>
  </si>
  <si>
    <t>ROOF_EFH_VI_kaSan</t>
  </si>
  <si>
    <t>ROOF_EFH_VII</t>
  </si>
  <si>
    <t>ROOF_EFH_VIII</t>
  </si>
  <si>
    <t>ROOF_RH_I</t>
  </si>
  <si>
    <t>ROOF_RH_I_San</t>
  </si>
  <si>
    <t>ROOF_RH_I_kaSan</t>
  </si>
  <si>
    <t>ROOF_RH_II</t>
  </si>
  <si>
    <t>ROOF_RH_II_San</t>
  </si>
  <si>
    <t>ROOF_RH_II_kaSan</t>
  </si>
  <si>
    <t>ROOF_RH_III</t>
  </si>
  <si>
    <t>ROOF_RH_III_San</t>
  </si>
  <si>
    <t>ROOF_RH_III_kaSan</t>
  </si>
  <si>
    <t>ROOF_RH_IV</t>
  </si>
  <si>
    <t>ROOF_RH_IV_San</t>
  </si>
  <si>
    <t>ROOF_RH_IV_kaSan</t>
  </si>
  <si>
    <t>ROOF_RH_V</t>
  </si>
  <si>
    <t>ROOF_RH_V_San</t>
  </si>
  <si>
    <t>ROOF_RH_V_kaSan</t>
  </si>
  <si>
    <t>ROOF_RH_VI</t>
  </si>
  <si>
    <t>ROOF_RH_VI_San</t>
  </si>
  <si>
    <t>ROOF_RH_VI_kaSan</t>
  </si>
  <si>
    <t>ROOF_RH_VII</t>
  </si>
  <si>
    <t>ROOF_RH_VIII</t>
  </si>
  <si>
    <t>ROOF_MHF_I</t>
  </si>
  <si>
    <t>ROOF_MHF_I_San</t>
  </si>
  <si>
    <t>ROOF_MHF_I_kaSan</t>
  </si>
  <si>
    <t>ROOF_MHF_II</t>
  </si>
  <si>
    <t>ROOF_MHF_II_San</t>
  </si>
  <si>
    <t>ROOF_MHF_II_kaSan</t>
  </si>
  <si>
    <t>ROOF_MHF_III</t>
  </si>
  <si>
    <t>ROOF_MHF_III_San</t>
  </si>
  <si>
    <t>ROOF_MHF_III_kaSan</t>
  </si>
  <si>
    <t>ROOF_MHF_IV</t>
  </si>
  <si>
    <t>ROOF_MHF_IV_San</t>
  </si>
  <si>
    <t>ROOF_MHF_IV_kaSan</t>
  </si>
  <si>
    <t>ROOF_MHF_V</t>
  </si>
  <si>
    <t>ROOF_MHF_V_San</t>
  </si>
  <si>
    <t>ROOF_MHF_V_kaSan</t>
  </si>
  <si>
    <t>ROOF_MHF_VI</t>
  </si>
  <si>
    <t>ROOF_MHF_VI_San</t>
  </si>
  <si>
    <t>ROOF_MHF_VI_kaSan</t>
  </si>
  <si>
    <t>ROOF_MHF_VII</t>
  </si>
  <si>
    <t>ROOF_MHF_VIII</t>
  </si>
  <si>
    <t>ROOF_MWB_I</t>
  </si>
  <si>
    <t>ROOF_MWB_I_San</t>
  </si>
  <si>
    <t>ROOF_MWB_I_kaSan</t>
  </si>
  <si>
    <t>ROOF_MWB_II</t>
  </si>
  <si>
    <t>ROOF_MWB_II_San</t>
  </si>
  <si>
    <t>ROOF_MWB_II_kaSan</t>
  </si>
  <si>
    <t>ROOF_MWB_III</t>
  </si>
  <si>
    <t>ROOF_MWB_III_San</t>
  </si>
  <si>
    <t>ROOF_MWB_III_kaSan</t>
  </si>
  <si>
    <t>ROOF_MWB_IV</t>
  </si>
  <si>
    <t>ROOF_MWB_IV_San</t>
  </si>
  <si>
    <t>ROOF_MWB_IV_kaSan</t>
  </si>
  <si>
    <t>ROOF_MWB_V</t>
  </si>
  <si>
    <t>ROOF_MWB_V_San</t>
  </si>
  <si>
    <t>ROOF_MWB_V_kaSan</t>
  </si>
  <si>
    <t>ROOF_MWB_VI</t>
  </si>
  <si>
    <t>ROOF_MWB_VI_San</t>
  </si>
  <si>
    <t>ROOF_MWB_VI_kaSan</t>
  </si>
  <si>
    <t>ROOF_MWB_VII</t>
  </si>
  <si>
    <t>ROOF_MWB_VIII</t>
  </si>
  <si>
    <t>FLOOR_EFH_I</t>
  </si>
  <si>
    <t>FLOOR_EFH_I_San</t>
  </si>
  <si>
    <t>FLOOR_EFH_I_kaSan</t>
  </si>
  <si>
    <t>FLOOR_EFH_II</t>
  </si>
  <si>
    <t>FLOOR_EFH_II_San</t>
  </si>
  <si>
    <t>FLOOR_EFH_II_kaSan</t>
  </si>
  <si>
    <t>FLOOR_EFH_III</t>
  </si>
  <si>
    <t>FLOOR_EFH_III_San</t>
  </si>
  <si>
    <t>FLOOR_EFH_III_kaSan</t>
  </si>
  <si>
    <t>FLOOR_EFH_IV</t>
  </si>
  <si>
    <t>FLOOR_EFH_IV_San</t>
  </si>
  <si>
    <t>FLOOR_EFH_IV_kaSan</t>
  </si>
  <si>
    <t>FLOOR_EFH_V</t>
  </si>
  <si>
    <t>FLOOR_EFH_V_San</t>
  </si>
  <si>
    <t>FLOOR_EFH_V_kaSan</t>
  </si>
  <si>
    <t>FLOOR_EFH_VI</t>
  </si>
  <si>
    <t>FLOOR_EFH_VI_San</t>
  </si>
  <si>
    <t>FLOOR_EFH_VI_kaSan</t>
  </si>
  <si>
    <t>FLOOR_EFH_VII</t>
  </si>
  <si>
    <t>FLOOR_EFH_VIII</t>
  </si>
  <si>
    <t>FLOOR_RH_I</t>
  </si>
  <si>
    <t>FLOOR_RH_I_San</t>
  </si>
  <si>
    <t>FLOOR_RH_I_kaSan</t>
  </si>
  <si>
    <t>FLOOR_RH_II</t>
  </si>
  <si>
    <t>FLOOR_RH_II_San</t>
  </si>
  <si>
    <t>FLOOR_RH_II_kaSan</t>
  </si>
  <si>
    <t>FLOOR_RH_III</t>
  </si>
  <si>
    <t>FLOOR_RH_III_San</t>
  </si>
  <si>
    <t>FLOOR_RH_III_kaSan</t>
  </si>
  <si>
    <t>FLOOR_RH_IV</t>
  </si>
  <si>
    <t>FLOOR_RH_IV_San</t>
  </si>
  <si>
    <t>FLOOR_RH_IV_kaSan</t>
  </si>
  <si>
    <t>FLOOR_RH_V</t>
  </si>
  <si>
    <t>FLOOR_RH_V_San</t>
  </si>
  <si>
    <t>FLOOR_RH_V_kaSan</t>
  </si>
  <si>
    <t>FLOOR_RH_VI</t>
  </si>
  <si>
    <t>FLOOR_RH_VI_San</t>
  </si>
  <si>
    <t>FLOOR_RH_VI_kaSan</t>
  </si>
  <si>
    <t>FLOOR_RH_VII</t>
  </si>
  <si>
    <t>FLOOR_RH_VIII</t>
  </si>
  <si>
    <t>FLOOR_MHF_I</t>
  </si>
  <si>
    <t>FLOOR_MHF_I_San</t>
  </si>
  <si>
    <t>FLOOR_MHF_I_kaSan</t>
  </si>
  <si>
    <t>FLOOR_MHF_II</t>
  </si>
  <si>
    <t>FLOOR_MHF_II_San</t>
  </si>
  <si>
    <t>FLOOR_MHF_II_kaSan</t>
  </si>
  <si>
    <t>FLOOR_MHF_III</t>
  </si>
  <si>
    <t>FLOOR_MHF_III_San</t>
  </si>
  <si>
    <t>FLOOR_MHF_III_kaSan</t>
  </si>
  <si>
    <t>FLOOR_MHF_IV</t>
  </si>
  <si>
    <t>FLOOR_MHF_IV_San</t>
  </si>
  <si>
    <t>FLOOR_MHF_IV_kaSan</t>
  </si>
  <si>
    <t>FLOOR_MHF_V</t>
  </si>
  <si>
    <t>FLOOR_MHF_V_San</t>
  </si>
  <si>
    <t>FLOOR_MHF_V_kaSan</t>
  </si>
  <si>
    <t>FLOOR_MHF_VI</t>
  </si>
  <si>
    <t>FLOOR_MHF_VI_San</t>
  </si>
  <si>
    <t>FLOOR_MHF_VI_kaSan</t>
  </si>
  <si>
    <t>FLOOR_MHF_VII</t>
  </si>
  <si>
    <t>FLOOR_MHF_VIII</t>
  </si>
  <si>
    <t>FLOOR_MWB_I</t>
  </si>
  <si>
    <t>FLOOR_MWB_I_San</t>
  </si>
  <si>
    <t>FLOOR_MWB_I_kaSan</t>
  </si>
  <si>
    <t>FLOOR_MWB_II</t>
  </si>
  <si>
    <t>FLOOR_MWB_II_San</t>
  </si>
  <si>
    <t>FLOOR_MWB_II_kaSan</t>
  </si>
  <si>
    <t>FLOOR_MWB_III</t>
  </si>
  <si>
    <t>FLOOR_MWB_III_San</t>
  </si>
  <si>
    <t>FLOOR_MWB_III_kaSan</t>
  </si>
  <si>
    <t>FLOOR_MWB_IV</t>
  </si>
  <si>
    <t>FLOOR_MWB_IV_San</t>
  </si>
  <si>
    <t>FLOOR_MWB_IV_kaSan</t>
  </si>
  <si>
    <t>FLOOR_MWB_V</t>
  </si>
  <si>
    <t>FLOOR_MWB_V_San</t>
  </si>
  <si>
    <t>FLOOR_MWB_V_kaSan</t>
  </si>
  <si>
    <t>FLOOR_MWB_VI</t>
  </si>
  <si>
    <t>FLOOR_MWB_VI_San</t>
  </si>
  <si>
    <t>FLOOR_MWB_VI_kaSan</t>
  </si>
  <si>
    <t>FLOOR_MWB_VII</t>
  </si>
  <si>
    <t>FLOOR_MWB_VIII</t>
  </si>
  <si>
    <t>average in Germany</t>
  </si>
  <si>
    <t>OIB Richtlinie 6 2023 - Elektrische Energie (Liefermix); Kosten unverändert</t>
  </si>
  <si>
    <t>GRID_AT</t>
  </si>
  <si>
    <t>district heating pauschal</t>
  </si>
  <si>
    <t>SUPPLY_HEATING_AS12</t>
  </si>
  <si>
    <t>SUPPLY_ELECTRICITY_AS2</t>
  </si>
  <si>
    <t>Austrian consumer energy mix</t>
  </si>
  <si>
    <t>30|04</t>
  </si>
  <si>
    <t>01|05</t>
  </si>
  <si>
    <t>SUPPLY_HOTWATER_AS12</t>
  </si>
  <si>
    <t>EFH I_Bis 1919</t>
  </si>
  <si>
    <t>EFH I Standardsanierung_Bis 1919</t>
  </si>
  <si>
    <t>EFH I k:a sanierung_Bis 1919</t>
  </si>
  <si>
    <t>EFH II_1920-44</t>
  </si>
  <si>
    <t>EFH II Standardsanierung_1920-44</t>
  </si>
  <si>
    <t>EFH II k:a sanierung_1920-44</t>
  </si>
  <si>
    <t>EFH III_1945-59</t>
  </si>
  <si>
    <t>EFH III Standardsanierung_1945-59</t>
  </si>
  <si>
    <t>EFH III k:a sanierung_1945-59</t>
  </si>
  <si>
    <t>EFH IV_1960-79</t>
  </si>
  <si>
    <t>EFH IV Standardsanierung_1960-79</t>
  </si>
  <si>
    <t>EFH IV k:a sanierung_1960-79</t>
  </si>
  <si>
    <t>EFH V_1980-89</t>
  </si>
  <si>
    <t>EFH V Standardsanierung_1980-89</t>
  </si>
  <si>
    <t>EFH V k:a sanierung_1980-89</t>
  </si>
  <si>
    <t>EFH VI_1990-99</t>
  </si>
  <si>
    <t>EFH VI Standardsanierung_1990-99</t>
  </si>
  <si>
    <t>EFH VI k:a sanierung_1990-99</t>
  </si>
  <si>
    <t>EFH VII_2000-20</t>
  </si>
  <si>
    <t>EFH VIII_&gt;2020</t>
  </si>
  <si>
    <t>RH I_Bis 1919</t>
  </si>
  <si>
    <t>RH I Standardsanierung_Bis 1919</t>
  </si>
  <si>
    <t>RH I k:a sanierung_Bis 1919</t>
  </si>
  <si>
    <t>RH II_1920-44</t>
  </si>
  <si>
    <t>RH II Standardsanierung_1920-44</t>
  </si>
  <si>
    <t>RH II k:a sanierung_1920-44</t>
  </si>
  <si>
    <t>RH III_1945-59</t>
  </si>
  <si>
    <t>RH III Standardsanierung_1945-59</t>
  </si>
  <si>
    <t>RH III k:a sanierung_1945-59</t>
  </si>
  <si>
    <t>RH IV_1960-79</t>
  </si>
  <si>
    <t>RH IV Standardsanierung_1960-79</t>
  </si>
  <si>
    <t>RH IV k:a sanierung_1960-79</t>
  </si>
  <si>
    <t>RH V_1980-89</t>
  </si>
  <si>
    <t>RH V Standardsanierung_1980-89</t>
  </si>
  <si>
    <t>RH V k:a sanierung_1980-89</t>
  </si>
  <si>
    <t>RH VI_1990-99</t>
  </si>
  <si>
    <t>RH VI Standardsanierung_1990-99</t>
  </si>
  <si>
    <t>RH VI k:a sanierung_1990-99</t>
  </si>
  <si>
    <t>RH VII_2000-20</t>
  </si>
  <si>
    <t>RH VIII_&gt;2020</t>
  </si>
  <si>
    <t>MFH I_Bis 1919</t>
  </si>
  <si>
    <t>MFH I Standardsanierung_Bis 1919</t>
  </si>
  <si>
    <t>MFH I k:a sanierung_Bis 1919</t>
  </si>
  <si>
    <t>MFH II_1920-44</t>
  </si>
  <si>
    <t>MFH II Standardsanierung_1920-44</t>
  </si>
  <si>
    <t>MFH II k:a sanierung_1920-44</t>
  </si>
  <si>
    <t>MFH III_1945-59</t>
  </si>
  <si>
    <t>MFH III Standardsanierung_1945-59</t>
  </si>
  <si>
    <t>MFH III k:a sanierung_1945-59</t>
  </si>
  <si>
    <t>MFH IV_1960-79</t>
  </si>
  <si>
    <t>MFH IV Standardsanierung_1960-79</t>
  </si>
  <si>
    <t>MFH IV k:a sanierung_1960-79</t>
  </si>
  <si>
    <t>MFH V_1980-89</t>
  </si>
  <si>
    <t>MFH V Standardsanierung_1980-89</t>
  </si>
  <si>
    <t>MFH V k:a sanierung_1980-89</t>
  </si>
  <si>
    <t>MFH VI_1990-99</t>
  </si>
  <si>
    <t>MFH VI Standardsanierung_1990-99</t>
  </si>
  <si>
    <t>MFH VI k:a sanierung_1990-99</t>
  </si>
  <si>
    <t>MFH VII_2000-20</t>
  </si>
  <si>
    <t>MFH VIII_&gt;2020</t>
  </si>
  <si>
    <t>MWB I_Bis 1919</t>
  </si>
  <si>
    <t>MWB I Standardsanierung_Bis 1919</t>
  </si>
  <si>
    <t>MWB I k:a sanierung_Bis 1919</t>
  </si>
  <si>
    <t>MWB II_1920-44</t>
  </si>
  <si>
    <t>MWB II Standardsanierung_1920-44</t>
  </si>
  <si>
    <t>MWB II k:a sanierung_1920-44</t>
  </si>
  <si>
    <t>MWB III_1945-59</t>
  </si>
  <si>
    <t>MWB III Standardsanierung_1945-59</t>
  </si>
  <si>
    <t>MWB III k:a sanierung_1945-59</t>
  </si>
  <si>
    <t>MWB IV_1960-79</t>
  </si>
  <si>
    <t>MWB IV Standardsanierung_1960-79</t>
  </si>
  <si>
    <t>MWB IV k:a sanierung_1960-79</t>
  </si>
  <si>
    <t>MWB V_1980-89</t>
  </si>
  <si>
    <t>MWB V Standardsanierung_1980-89</t>
  </si>
  <si>
    <t>MWB V k:a sanierung_1980-89</t>
  </si>
  <si>
    <t>MWB VI_1990-99</t>
  </si>
  <si>
    <t>MWB VI Standardsanierung_1990-99</t>
  </si>
  <si>
    <t>MWB VI k:a sanierung_1990-99</t>
  </si>
  <si>
    <t>MWB VII_2000-20</t>
  </si>
  <si>
    <t>MWB VIII_&gt;2020</t>
  </si>
  <si>
    <t>CONSTRUCTION_TYPES</t>
  </si>
  <si>
    <t>Sensi_1</t>
  </si>
  <si>
    <t>Sensi_2</t>
  </si>
  <si>
    <t>Sensi_3</t>
  </si>
  <si>
    <t>Sensi_4</t>
  </si>
  <si>
    <t>Sensi_5</t>
  </si>
  <si>
    <t>Sensi_6</t>
  </si>
  <si>
    <t>Sensi_7</t>
  </si>
  <si>
    <t>Sensi_8</t>
  </si>
  <si>
    <t>CONSTRUCTION_AS8</t>
  </si>
  <si>
    <t>CONSTRUCTION_AS9</t>
  </si>
  <si>
    <t>CONSTRUCTION_AS10</t>
  </si>
  <si>
    <t>CONSTRUCTION_AS11</t>
  </si>
  <si>
    <t>CONSTRUCTION_AS12</t>
  </si>
  <si>
    <t>CONSTRUCTION_AS13</t>
  </si>
  <si>
    <t>CONSTRUCTION_AS14</t>
  </si>
  <si>
    <t>CONSTRUCTION_AS15</t>
  </si>
  <si>
    <t>vgl. Zelger Beton, PH mit BTA</t>
  </si>
  <si>
    <t>A/V Verhältnis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</si>
</sst>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4" fillId="0" borderId="0" applyFont="0" applyFill="0" applyBorder="0" applyAlignment="0" applyProtection="0"/>
  </cellStyleXfs>
  <cellXfs count="22">
    <xf numFmtId="0" fontId="0" fillId="0" borderId="0" xfId="0"/>
    <xf numFmtId="0" fontId="1" fillId="2" borderId="1" xfId="1"/>
    <xf numFmtId="0" fontId="3" fillId="0" borderId="0" xfId="0" applyFont="1"/>
    <xf numFmtId="49" fontId="0" fillId="0" borderId="0" xfId="0" applyNumberFormat="1"/>
    <xf numFmtId="0" fontId="0" fillId="0" borderId="0" xfId="0" quotePrefix="1"/>
    <xf numFmtId="2" fontId="0" fillId="0" borderId="0" xfId="0" quotePrefix="1" applyNumberFormat="1"/>
    <xf numFmtId="0" fontId="0" fillId="3" borderId="0" xfId="0" applyFill="1"/>
    <xf numFmtId="10" fontId="0" fillId="0" borderId="0" xfId="0" applyNumberFormat="1"/>
    <xf numFmtId="9" fontId="0" fillId="0" borderId="0" xfId="0" applyNumberFormat="1"/>
    <xf numFmtId="0" fontId="0" fillId="3" borderId="0" xfId="0" quotePrefix="1" applyFill="1"/>
    <xf numFmtId="9" fontId="0" fillId="0" borderId="0" xfId="2" applyFont="1"/>
    <xf numFmtId="0" fontId="0" fillId="0" borderId="2" xfId="0" applyBorder="1"/>
    <xf numFmtId="9" fontId="0" fillId="0" borderId="3" xfId="2" applyFont="1" applyBorder="1"/>
    <xf numFmtId="0" fontId="0" fillId="0" borderId="3" xfId="0" applyBorder="1"/>
    <xf numFmtId="0" fontId="0" fillId="0" borderId="4" xfId="0" applyBorder="1"/>
    <xf numFmtId="9" fontId="0" fillId="0" borderId="0" xfId="2" applyFont="1" applyBorder="1"/>
    <xf numFmtId="0" fontId="0" fillId="0" borderId="5" xfId="0" applyBorder="1"/>
    <xf numFmtId="9" fontId="0" fillId="0" borderId="6" xfId="2" applyFont="1" applyBorder="1"/>
    <xf numFmtId="0" fontId="0" fillId="0" borderId="6" xfId="0" applyBorder="1"/>
    <xf numFmtId="2" fontId="0" fillId="0" borderId="0" xfId="0" applyNumberFormat="1"/>
    <xf numFmtId="9" fontId="0" fillId="0" borderId="0" xfId="2" quotePrefix="1" applyFont="1"/>
    <xf numFmtId="1" fontId="0" fillId="0" borderId="0" xfId="0" applyNumberFormat="1"/>
  </cellXfs>
  <cellStyles count="3">
    <cellStyle name="Eingabe" xfId="1" builtinId="20"/>
    <cellStyle name="Prozent" xfId="2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WWR!$A$2</c:f>
              <c:strCache>
                <c:ptCount val="1"/>
                <c:pt idx="0">
                  <c:v>Wohnen</c:v>
                </c:pt>
              </c:strCache>
            </c:strRef>
          </c:tx>
          <c:spPr>
            <a:solidFill>
              <a:schemeClr val="accent1">
                <a:alpha val="50196"/>
              </a:schemeClr>
            </a:solidFill>
            <a:ln w="25400">
              <a:solidFill>
                <a:schemeClr val="accent1"/>
              </a:solidFill>
              <a:prstDash val="sysDot"/>
            </a:ln>
            <a:effectLst/>
          </c:spPr>
          <c:cat>
            <c:strRef>
              <c:f>WWR!$G$1:$J$1</c:f>
              <c:strCache>
                <c:ptCount val="4"/>
                <c:pt idx="0">
                  <c:v>Nord</c:v>
                </c:pt>
                <c:pt idx="1">
                  <c:v>Ost</c:v>
                </c:pt>
                <c:pt idx="2">
                  <c:v>Süd</c:v>
                </c:pt>
                <c:pt idx="3">
                  <c:v>West</c:v>
                </c:pt>
              </c:strCache>
            </c:strRef>
          </c:cat>
          <c:val>
            <c:numRef>
              <c:f>WWR!$G$2:$J$2</c:f>
              <c:numCache>
                <c:formatCode>0%</c:formatCode>
                <c:ptCount val="4"/>
                <c:pt idx="0">
                  <c:v>0.11605253261166128</c:v>
                </c:pt>
                <c:pt idx="1">
                  <c:v>0.27588617442537844</c:v>
                </c:pt>
                <c:pt idx="2">
                  <c:v>0.33217511853758169</c:v>
                </c:pt>
                <c:pt idx="3">
                  <c:v>0.27588617442537844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C-44CE-88B8-075968559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313760"/>
        <c:axId val="1175317600"/>
      </c:radarChart>
      <c:catAx>
        <c:axId val="117531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5317600"/>
        <c:crosses val="autoZero"/>
        <c:auto val="1"/>
        <c:lblAlgn val="ctr"/>
        <c:lblOffset val="100"/>
        <c:noMultiLvlLbl val="0"/>
      </c:catAx>
      <c:valAx>
        <c:axId val="117531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531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587188</xdr:colOff>
      <xdr:row>3</xdr:row>
      <xdr:rowOff>175988</xdr:rowOff>
    </xdr:from>
    <xdr:to>
      <xdr:col>16</xdr:col>
      <xdr:colOff>425262</xdr:colOff>
      <xdr:row>19</xdr:row>
      <xdr:rowOff>33112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C0FDD13-4089-145C-4E14-D75B26F5B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0</xdr:row>
          <xdr:rowOff>160020</xdr:rowOff>
        </xdr:from>
        <xdr:to>
          <xdr:col>4</xdr:col>
          <xdr:colOff>403860</xdr:colOff>
          <xdr:row>4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525780</xdr:colOff>
          <xdr:row>6</xdr:row>
          <xdr:rowOff>106680</xdr:rowOff>
        </xdr:from>
        <xdr:to>
          <xdr:col>4</xdr:col>
          <xdr:colOff>274320</xdr:colOff>
          <xdr:row>8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A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617220</xdr:colOff>
      <xdr:row>1</xdr:row>
      <xdr:rowOff>179070</xdr:rowOff>
    </xdr:from>
    <xdr:to>
      <xdr:col>10</xdr:col>
      <xdr:colOff>617220</xdr:colOff>
      <xdr:row>11</xdr:row>
      <xdr:rowOff>60960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B8ACAA53-10DE-2DE2-F70F-2F4C5AB468DB}"/>
            </a:ext>
          </a:extLst>
        </xdr:cNvPr>
        <xdr:cNvSpPr txBox="1"/>
      </xdr:nvSpPr>
      <xdr:spPr>
        <a:xfrm>
          <a:off x="6271260" y="361950"/>
          <a:ext cx="3169920" cy="17106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Tipp: Um</a:t>
          </a:r>
          <a:r>
            <a:rPr lang="de-AT" sz="1100" baseline="0"/>
            <a:t> Pfadprobleme zu verhindern, liegt</a:t>
          </a:r>
          <a:r>
            <a:rPr lang="de-AT" sz="1100"/>
            <a:t> dieses file</a:t>
          </a:r>
          <a:r>
            <a:rPr lang="de-AT" sz="1100" baseline="0"/>
            <a:t> am besten im selben Ordner, wie das File das importiert bzw. sptäer exportiert wird.</a:t>
          </a:r>
        </a:p>
        <a:p>
          <a:endParaRPr lang="de-AT" sz="1100" baseline="0"/>
        </a:p>
        <a:p>
          <a:r>
            <a:rPr lang="de-AT" sz="1100" baseline="0"/>
            <a:t>1. File-Name eingeben</a:t>
          </a:r>
        </a:p>
        <a:p>
          <a:r>
            <a:rPr lang="de-AT" sz="1100" baseline="0"/>
            <a:t>2. hit the button (import)</a:t>
          </a:r>
        </a:p>
        <a:p>
          <a:r>
            <a:rPr lang="de-AT" sz="1100" baseline="0"/>
            <a:t>3. Änderungen durchführen</a:t>
          </a:r>
        </a:p>
        <a:p>
          <a:r>
            <a:rPr lang="de-AT" sz="1100" baseline="0"/>
            <a:t>3. neuen File-Namen eingeben</a:t>
          </a:r>
        </a:p>
        <a:p>
          <a:r>
            <a:rPr lang="de-AT" sz="1100" baseline="0"/>
            <a:t>4. hit the button (export)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D7ACC0-BC83-4222-8525-9C3131AEF054}" name="Tabelle1" displayName="Tabelle1" ref="A1:AC185" totalsRowShown="0">
  <autoFilter ref="A1:AC185" xr:uid="{E4D7ACC0-BC83-4222-8525-9C3131AEF054}"/>
  <tableColumns count="29">
    <tableColumn id="1" xr3:uid="{FB0625B6-819A-479A-AF04-538794AD4A88}" name="Name"/>
    <tableColumn id="2" xr3:uid="{6D6A74A4-E1EE-4D09-9848-4E8051E63721}" name="Bauperiode"/>
    <tableColumn id="3" xr3:uid="{05B194E5-A79F-456F-85E6-6CDB6DC05D85}" name="GK"/>
    <tableColumn id="4" xr3:uid="{B231C526-F7CA-4EE9-B08F-B166A67BE6FB}" name="Status"/>
    <tableColumn id="5" xr3:uid="{C65A3E34-25B4-4B4E-AF29-0D6F1FC2D600}" name="U-Wert AW"/>
    <tableColumn id="6" xr3:uid="{BFFEEF38-6ED8-42C4-940D-4DE72333FEFC}" name="U-Wert Fe"/>
    <tableColumn id="18" xr3:uid="{660A0F59-592C-4856-9C91-8E4DD902C6C4}" name="Art Fenster"/>
    <tableColumn id="7" xr3:uid="{8B38EC40-7A92-4990-BB53-3F81820E04E0}" name="g-Wert"/>
    <tableColumn id="8" xr3:uid="{DC61AD0E-363C-4B06-88D6-05DB1430E7AC}" name="U-Wert KD"/>
    <tableColumn id="9" xr3:uid="{448D0926-B6F6-4842-96E1-32BFD082E634}" name="U-Wert OGD"/>
    <tableColumn id="10" xr3:uid="{A91F937F-1D64-40CC-9C88-AD07C1320AFD}" name="Quelle"/>
    <tableColumn id="19" xr3:uid="{681D1F1E-E413-493B-8885-A66280928CA1}" name="Bauweise AW"/>
    <tableColumn id="20" xr3:uid="{DA4B81EA-C126-4E22-BAE2-4F3497351E5F}" name="Bauweise ZwiDe"/>
    <tableColumn id="11" xr3:uid="{24C30204-497A-4104-AC52-94573549C314}" name="HWB"/>
    <tableColumn id="23" xr3:uid="{F56CC168-9114-45B6-8BF2-BE4286DD5573}" name="AW"/>
    <tableColumn id="21" xr3:uid="{DA90A49A-D34E-4B20-83B6-0B5F37115E20}" name="F"/>
    <tableColumn id="22" xr3:uid="{B245C444-5938-46B8-9308-2ABAED5214FD}" name="Dach/FB/KD"/>
    <tableColumn id="24" xr3:uid="{213A2019-645A-44B7-8816-F98C03FEBDDE}" name="GrundRiss"/>
    <tableColumn id="25" xr3:uid="{6246AD37-0152-4321-BEAE-7E744F5C74B1}" name="Höhe"/>
    <tableColumn id="26" xr3:uid="{04CA8361-F84E-46D9-A267-13829F007570}" name="BGF"/>
    <tableColumn id="16" xr3:uid="{B6F0BBBC-B1AD-4709-B634-258AA79DF593}" name="A/V Verhältnis"/>
    <tableColumn id="27" xr3:uid="{FD054D2C-B9EF-49F1-B56E-AFA00064BFCC}" name="WWR-total"/>
    <tableColumn id="12" xr3:uid="{50381CBB-98AB-4564-9377-E2D3497B1FD5}" name="WWR Nord"/>
    <tableColumn id="13" xr3:uid="{2F04289B-FE1B-454B-8288-6DFF9837EA3B}" name="WWR Ost"/>
    <tableColumn id="14" xr3:uid="{F2AB3049-06C8-4511-8B2C-F0308953494A}" name="WWR Süd"/>
    <tableColumn id="15" xr3:uid="{E505298A-771E-4A18-A886-D7877993AEFC}" name="WWR West"/>
    <tableColumn id="17" xr3:uid="{0D2E1B41-4213-4FD8-8B0C-868FE8AE0EF3}" name="Raumheizung"/>
    <tableColumn id="28" xr3:uid="{338DBBA3-DE6F-44DF-9200-EC467401F2EC}" name="n50"/>
    <tableColumn id="29" xr3:uid="{972BC5C3-037F-4877-8410-9419842F1060}" name="Luftwechsel lt. ÖNORM 8110-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8213-EF21-4AAB-BE01-2A8722AFD060}">
  <dimension ref="A1:AC185"/>
  <sheetViews>
    <sheetView tabSelected="1" workbookViewId="0">
      <pane xSplit="1" topLeftCell="J1" activePane="topRight" state="frozen"/>
      <selection pane="topRight" activeCell="K26" sqref="K26"/>
    </sheetView>
  </sheetViews>
  <sheetFormatPr baseColWidth="10" defaultRowHeight="14.4" x14ac:dyDescent="0.3"/>
  <cols>
    <col min="2" max="2" width="8.6640625" customWidth="1"/>
    <col min="3" max="3" width="7.88671875" customWidth="1"/>
    <col min="4" max="4" width="8.44140625" customWidth="1"/>
    <col min="5" max="5" width="12.44140625" customWidth="1"/>
    <col min="6" max="6" width="15.44140625" customWidth="1"/>
    <col min="7" max="7" width="42.109375" customWidth="1"/>
    <col min="8" max="8" width="11.77734375" customWidth="1"/>
    <col min="9" max="9" width="13.21875" customWidth="1"/>
    <col min="10" max="10" width="15.21875" customWidth="1"/>
    <col min="11" max="13" width="11.5546875" customWidth="1"/>
    <col min="14" max="19" width="12.21875" customWidth="1"/>
    <col min="20" max="23" width="11.5546875" customWidth="1"/>
    <col min="24" max="24" width="12.21875" customWidth="1"/>
    <col min="25" max="25" width="11.5546875" customWidth="1"/>
    <col min="26" max="26" width="12.33203125" customWidth="1"/>
    <col min="27" max="27" width="15.5546875" bestFit="1" customWidth="1"/>
    <col min="29" max="29" width="18.21875" customWidth="1"/>
  </cols>
  <sheetData>
    <row r="1" spans="1:29" x14ac:dyDescent="0.3">
      <c r="A1" t="s">
        <v>827</v>
      </c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229</v>
      </c>
      <c r="H1" t="s">
        <v>95</v>
      </c>
      <c r="I1" t="s">
        <v>93</v>
      </c>
      <c r="J1" t="s">
        <v>94</v>
      </c>
      <c r="K1" s="2" t="s">
        <v>110</v>
      </c>
      <c r="L1" s="2" t="s">
        <v>231</v>
      </c>
      <c r="M1" s="2" t="s">
        <v>232</v>
      </c>
      <c r="N1" t="s">
        <v>112</v>
      </c>
      <c r="O1" t="s">
        <v>236</v>
      </c>
      <c r="P1" t="s">
        <v>237</v>
      </c>
      <c r="Q1" t="s">
        <v>238</v>
      </c>
      <c r="R1" t="s">
        <v>240</v>
      </c>
      <c r="S1" t="s">
        <v>241</v>
      </c>
      <c r="T1" t="s">
        <v>246</v>
      </c>
      <c r="U1" t="s">
        <v>1665</v>
      </c>
      <c r="V1" t="s">
        <v>247</v>
      </c>
      <c r="W1" t="s">
        <v>96</v>
      </c>
      <c r="X1" t="s">
        <v>97</v>
      </c>
      <c r="Y1" t="s">
        <v>98</v>
      </c>
      <c r="Z1" t="s">
        <v>99</v>
      </c>
      <c r="AA1" t="s">
        <v>124</v>
      </c>
      <c r="AB1" t="s">
        <v>349</v>
      </c>
      <c r="AC1" t="s">
        <v>350</v>
      </c>
    </row>
    <row r="2" spans="1:29" x14ac:dyDescent="0.3">
      <c r="B2" t="s">
        <v>100</v>
      </c>
      <c r="C2" t="s">
        <v>108</v>
      </c>
      <c r="D2" t="s">
        <v>109</v>
      </c>
      <c r="E2">
        <v>1.8</v>
      </c>
      <c r="F2">
        <v>2.2000000000000002</v>
      </c>
      <c r="I2">
        <v>1.2</v>
      </c>
      <c r="J2">
        <v>1.1000000000000001</v>
      </c>
      <c r="K2" t="s">
        <v>111</v>
      </c>
      <c r="L2" t="s">
        <v>233</v>
      </c>
      <c r="M2" t="s">
        <v>234</v>
      </c>
      <c r="N2" s="3" t="s">
        <v>113</v>
      </c>
      <c r="O2" s="3"/>
      <c r="P2" s="3"/>
      <c r="Q2" s="3"/>
      <c r="R2" s="3"/>
      <c r="S2" s="3"/>
      <c r="T2" s="3"/>
      <c r="U2" s="3"/>
      <c r="V2" s="3"/>
    </row>
    <row r="3" spans="1:29" x14ac:dyDescent="0.3">
      <c r="B3" t="s">
        <v>101</v>
      </c>
      <c r="C3" t="s">
        <v>108</v>
      </c>
      <c r="D3" t="s">
        <v>109</v>
      </c>
      <c r="E3">
        <v>1.8</v>
      </c>
      <c r="F3">
        <v>2.2999999999999998</v>
      </c>
      <c r="I3">
        <v>1.2</v>
      </c>
      <c r="J3">
        <v>0.8</v>
      </c>
      <c r="N3" s="3" t="s">
        <v>114</v>
      </c>
      <c r="O3" s="3"/>
      <c r="P3" s="3"/>
      <c r="Q3" s="3"/>
      <c r="R3" s="3"/>
      <c r="S3" s="3"/>
      <c r="T3" s="3"/>
      <c r="U3" s="3"/>
      <c r="V3" s="3"/>
    </row>
    <row r="4" spans="1:29" x14ac:dyDescent="0.3">
      <c r="B4" t="s">
        <v>102</v>
      </c>
      <c r="C4" t="s">
        <v>108</v>
      </c>
      <c r="D4" t="s">
        <v>109</v>
      </c>
      <c r="E4">
        <v>1.6</v>
      </c>
      <c r="F4">
        <v>2.2999999999999998</v>
      </c>
      <c r="I4">
        <v>1.2</v>
      </c>
      <c r="J4">
        <v>0.8</v>
      </c>
      <c r="N4" s="3" t="s">
        <v>115</v>
      </c>
      <c r="O4" s="3"/>
      <c r="P4" s="3"/>
      <c r="Q4" s="3"/>
      <c r="R4" s="3"/>
      <c r="S4" s="3"/>
      <c r="T4" s="3"/>
      <c r="U4" s="3"/>
      <c r="V4" s="3"/>
    </row>
    <row r="5" spans="1:29" x14ac:dyDescent="0.3">
      <c r="B5" t="s">
        <v>103</v>
      </c>
      <c r="C5" t="s">
        <v>108</v>
      </c>
      <c r="D5" t="s">
        <v>109</v>
      </c>
      <c r="E5">
        <v>1.4</v>
      </c>
      <c r="F5">
        <v>2.7</v>
      </c>
      <c r="I5">
        <v>0.8</v>
      </c>
      <c r="J5">
        <v>0.7</v>
      </c>
      <c r="N5" s="3" t="s">
        <v>116</v>
      </c>
      <c r="O5" s="3"/>
      <c r="P5" s="3"/>
      <c r="Q5" s="3"/>
      <c r="R5" s="3"/>
      <c r="S5" s="3"/>
      <c r="T5" s="3"/>
      <c r="U5" s="3"/>
      <c r="V5" s="3"/>
    </row>
    <row r="6" spans="1:29" x14ac:dyDescent="0.3">
      <c r="B6" t="s">
        <v>104</v>
      </c>
      <c r="C6" t="s">
        <v>108</v>
      </c>
      <c r="D6" t="s">
        <v>109</v>
      </c>
      <c r="E6">
        <v>0.7</v>
      </c>
      <c r="F6">
        <v>2.5</v>
      </c>
      <c r="I6">
        <v>0.5</v>
      </c>
      <c r="J6">
        <v>0.4</v>
      </c>
      <c r="N6" s="3" t="s">
        <v>117</v>
      </c>
      <c r="O6" s="3"/>
      <c r="P6" s="3"/>
      <c r="Q6" s="3"/>
      <c r="R6" s="3"/>
      <c r="S6" s="3"/>
      <c r="T6" s="3"/>
      <c r="U6" s="3"/>
      <c r="V6" s="3"/>
    </row>
    <row r="7" spans="1:29" x14ac:dyDescent="0.3">
      <c r="B7" t="s">
        <v>105</v>
      </c>
      <c r="C7" t="s">
        <v>108</v>
      </c>
      <c r="D7" t="s">
        <v>109</v>
      </c>
      <c r="E7">
        <v>0.4</v>
      </c>
      <c r="F7">
        <v>1.8</v>
      </c>
      <c r="I7">
        <v>0.5</v>
      </c>
      <c r="J7">
        <v>0.3</v>
      </c>
      <c r="N7" s="3" t="s">
        <v>118</v>
      </c>
      <c r="O7" s="3"/>
      <c r="P7" s="3"/>
      <c r="Q7" s="3"/>
      <c r="R7" s="3"/>
      <c r="S7" s="3"/>
      <c r="T7" s="3"/>
      <c r="U7" s="3"/>
      <c r="V7" s="3"/>
    </row>
    <row r="8" spans="1:29" x14ac:dyDescent="0.3">
      <c r="B8" t="s">
        <v>106</v>
      </c>
      <c r="C8" t="s">
        <v>108</v>
      </c>
      <c r="D8" t="s">
        <v>109</v>
      </c>
      <c r="E8">
        <v>0.35</v>
      </c>
      <c r="F8">
        <v>1.4</v>
      </c>
      <c r="I8">
        <v>0.4</v>
      </c>
      <c r="J8">
        <v>0.2</v>
      </c>
      <c r="N8" s="3" t="s">
        <v>119</v>
      </c>
      <c r="O8" s="3"/>
      <c r="P8" s="3"/>
      <c r="Q8" s="3"/>
      <c r="R8" s="3"/>
      <c r="S8" s="3"/>
      <c r="T8" s="3"/>
      <c r="U8" s="3"/>
      <c r="V8" s="3"/>
    </row>
    <row r="9" spans="1:29" x14ac:dyDescent="0.3">
      <c r="B9" t="s">
        <v>107</v>
      </c>
      <c r="C9" t="s">
        <v>108</v>
      </c>
      <c r="D9" t="s">
        <v>109</v>
      </c>
      <c r="E9">
        <v>0.1</v>
      </c>
      <c r="F9">
        <v>0.6</v>
      </c>
      <c r="I9">
        <v>0.2</v>
      </c>
      <c r="J9">
        <v>0.1</v>
      </c>
      <c r="N9" s="3" t="s">
        <v>120</v>
      </c>
      <c r="O9" s="3"/>
      <c r="P9" s="3"/>
      <c r="Q9" s="3"/>
      <c r="R9" s="3"/>
      <c r="S9" s="3"/>
      <c r="T9" s="3"/>
      <c r="U9" s="3"/>
      <c r="V9" s="3"/>
    </row>
    <row r="10" spans="1:29" x14ac:dyDescent="0.3">
      <c r="A10" t="s">
        <v>121</v>
      </c>
      <c r="B10" t="s">
        <v>122</v>
      </c>
      <c r="C10" t="s">
        <v>108</v>
      </c>
      <c r="D10" t="s">
        <v>109</v>
      </c>
      <c r="E10">
        <v>1.9</v>
      </c>
      <c r="F10">
        <v>2.5</v>
      </c>
      <c r="G10" t="s">
        <v>230</v>
      </c>
      <c r="H10">
        <v>0.65</v>
      </c>
      <c r="I10">
        <v>0.72</v>
      </c>
      <c r="J10">
        <v>0.45</v>
      </c>
      <c r="K10" t="s">
        <v>123</v>
      </c>
      <c r="N10">
        <v>300</v>
      </c>
      <c r="O10">
        <v>248.5</v>
      </c>
      <c r="P10">
        <v>19.14</v>
      </c>
      <c r="Q10">
        <v>92.3</v>
      </c>
      <c r="R10" s="4" t="s">
        <v>239</v>
      </c>
      <c r="S10" s="5">
        <f>(Tabelle1[[#This Row],[AW]]+Tabelle1[[#This Row],[F]])/(SQRT(Tabelle1[[#This Row],[Dach/FB/KD]])*4)</f>
        <v>6.9645037949178965</v>
      </c>
      <c r="T10" s="5">
        <v>199</v>
      </c>
      <c r="U10" s="5">
        <f>(SUM(Tabelle1[[#This Row],[AW]:[F]])+2*Tabelle1[[#This Row],[Dach/FB/KD]])/(Tabelle1[[#This Row],[Dach/FB/KD]]*Tabelle1[[#This Row],[Höhe]])</f>
        <v>0.70352104287598738</v>
      </c>
      <c r="V10" s="20">
        <f>Tabelle1[[#This Row],[F]]/SUM(Tabelle1[[#This Row],[AW]:[F]])</f>
        <v>7.1513973994918559E-2</v>
      </c>
      <c r="W10" s="10">
        <f>Tabelle1[[#This Row],[WWR-total]]*4*WWR!$G$2</f>
        <v>3.3197511196939131E-2</v>
      </c>
      <c r="X10" s="10">
        <f>Tabelle1[[#This Row],[WWR-total]]*4*WWR!$H$2</f>
        <v>7.8918866813656313E-2</v>
      </c>
      <c r="Y10" s="10">
        <f>Tabelle1[[#This Row],[WWR-total]]*4*WWR!$I$2</f>
        <v>9.5020651155422423E-2</v>
      </c>
      <c r="Z10" s="10">
        <f>Tabelle1[[#This Row],[WWR-total]]*4*WWR!$J$2</f>
        <v>7.8918866813656313E-2</v>
      </c>
      <c r="AA10" t="s">
        <v>134</v>
      </c>
      <c r="AB10">
        <v>4.5</v>
      </c>
    </row>
    <row r="11" spans="1:29" x14ac:dyDescent="0.3">
      <c r="A11" t="s">
        <v>125</v>
      </c>
      <c r="B11" t="s">
        <v>122</v>
      </c>
      <c r="C11" t="s">
        <v>108</v>
      </c>
      <c r="D11" t="s">
        <v>126</v>
      </c>
      <c r="E11">
        <v>0.22</v>
      </c>
      <c r="F11">
        <v>1.2</v>
      </c>
      <c r="H11">
        <v>0.6</v>
      </c>
      <c r="I11">
        <v>0.72</v>
      </c>
      <c r="J11">
        <v>0.16</v>
      </c>
      <c r="K11" t="s">
        <v>123</v>
      </c>
      <c r="N11">
        <v>65</v>
      </c>
      <c r="V11" s="10">
        <v>7.1513973994918559E-2</v>
      </c>
      <c r="W11" s="10">
        <f>Tabelle1[[#This Row],[WWR-total]]*4*WWR!$G$2</f>
        <v>3.3197511196939131E-2</v>
      </c>
      <c r="X11" s="10">
        <f>Tabelle1[[#This Row],[WWR-total]]*4*WWR!$H$2</f>
        <v>7.8918866813656313E-2</v>
      </c>
      <c r="Y11" s="10">
        <f>Tabelle1[[#This Row],[WWR-total]]*4*WWR!$I$2</f>
        <v>9.5020651155422423E-2</v>
      </c>
      <c r="Z11" s="10">
        <f>Tabelle1[[#This Row],[WWR-total]]*4*WWR!$J$2</f>
        <v>7.8918866813656313E-2</v>
      </c>
      <c r="AA11" t="s">
        <v>135</v>
      </c>
      <c r="AB11">
        <v>3</v>
      </c>
    </row>
    <row r="12" spans="1:29" x14ac:dyDescent="0.3">
      <c r="A12" t="s">
        <v>127</v>
      </c>
      <c r="B12" t="s">
        <v>122</v>
      </c>
      <c r="C12" t="s">
        <v>108</v>
      </c>
      <c r="D12" t="s">
        <v>128</v>
      </c>
      <c r="E12">
        <v>0.2</v>
      </c>
      <c r="F12">
        <v>1.2</v>
      </c>
      <c r="H12">
        <v>0.5</v>
      </c>
      <c r="I12">
        <v>0.22</v>
      </c>
      <c r="J12">
        <v>0.15</v>
      </c>
      <c r="K12" t="s">
        <v>123</v>
      </c>
      <c r="N12">
        <v>48</v>
      </c>
      <c r="V12" s="10">
        <v>7.1513973994918559E-2</v>
      </c>
      <c r="W12" s="10">
        <f>Tabelle1[[#This Row],[WWR-total]]*4*WWR!$G$2</f>
        <v>3.3197511196939131E-2</v>
      </c>
      <c r="X12" s="10">
        <f>Tabelle1[[#This Row],[WWR-total]]*4*WWR!$H$2</f>
        <v>7.8918866813656313E-2</v>
      </c>
      <c r="Y12" s="10">
        <f>Tabelle1[[#This Row],[WWR-total]]*4*WWR!$I$2</f>
        <v>9.5020651155422423E-2</v>
      </c>
      <c r="Z12" s="10">
        <f>Tabelle1[[#This Row],[WWR-total]]*4*WWR!$J$2</f>
        <v>7.8918866813656313E-2</v>
      </c>
      <c r="AA12" t="s">
        <v>135</v>
      </c>
      <c r="AB12">
        <v>1.5</v>
      </c>
    </row>
    <row r="13" spans="1:29" x14ac:dyDescent="0.3">
      <c r="A13" t="s">
        <v>129</v>
      </c>
      <c r="B13" t="s">
        <v>132</v>
      </c>
      <c r="C13" t="s">
        <v>108</v>
      </c>
      <c r="D13" t="s">
        <v>109</v>
      </c>
      <c r="E13">
        <v>0.8</v>
      </c>
      <c r="F13">
        <v>1.55</v>
      </c>
      <c r="G13" t="s">
        <v>235</v>
      </c>
      <c r="H13">
        <v>0.65</v>
      </c>
      <c r="I13">
        <v>1.4</v>
      </c>
      <c r="J13">
        <v>2.1</v>
      </c>
      <c r="L13" t="s">
        <v>242</v>
      </c>
      <c r="M13" t="s">
        <v>243</v>
      </c>
      <c r="N13">
        <v>260</v>
      </c>
      <c r="O13">
        <v>208.4</v>
      </c>
      <c r="P13">
        <v>12.38</v>
      </c>
      <c r="Q13">
        <v>86.4</v>
      </c>
      <c r="R13" s="4" t="s">
        <v>244</v>
      </c>
      <c r="S13" s="5">
        <f>(Tabelle1[[#This Row],[AW]]+Tabelle1[[#This Row],[F]])/(SQRT(Tabelle1[[#This Row],[Dach/FB/KD]])*4)</f>
        <v>5.9380365498310654</v>
      </c>
      <c r="T13" s="5">
        <v>177</v>
      </c>
      <c r="U13" s="5">
        <f>(SUM(Tabelle1[[#This Row],[AW]:[F]])+2*Tabelle1[[#This Row],[Dach/FB/KD]])/(Tabelle1[[#This Row],[Dach/FB/KD]]*Tabelle1[[#This Row],[Höhe]])</f>
        <v>0.76714315175504799</v>
      </c>
      <c r="V13" s="20">
        <f>Tabelle1[[#This Row],[F]]/SUM(Tabelle1[[#This Row],[AW]:[F]])</f>
        <v>5.6073919739106803E-2</v>
      </c>
      <c r="W13" s="10">
        <f>Tabelle1[[#This Row],[WWR-total]]*4*WWR!$G$2</f>
        <v>2.6030081596745476E-2</v>
      </c>
      <c r="X13" s="10">
        <f>Tabelle1[[#This Row],[WWR-total]]*4*WWR!$H$2</f>
        <v>6.1880076807431565E-2</v>
      </c>
      <c r="Y13" s="10">
        <f>Tabelle1[[#This Row],[WWR-total]]*4*WWR!$I$2</f>
        <v>7.4505443744818572E-2</v>
      </c>
      <c r="Z13" s="10">
        <f>Tabelle1[[#This Row],[WWR-total]]*4*WWR!$J$2</f>
        <v>6.1880076807431565E-2</v>
      </c>
      <c r="AA13" t="s">
        <v>133</v>
      </c>
      <c r="AB13">
        <v>4.5</v>
      </c>
    </row>
    <row r="14" spans="1:29" x14ac:dyDescent="0.3">
      <c r="A14" t="s">
        <v>130</v>
      </c>
      <c r="B14" t="s">
        <v>132</v>
      </c>
      <c r="C14" t="s">
        <v>108</v>
      </c>
      <c r="D14" t="s">
        <v>126</v>
      </c>
      <c r="E14">
        <v>0.2</v>
      </c>
      <c r="F14">
        <v>1</v>
      </c>
      <c r="H14">
        <v>0.6</v>
      </c>
      <c r="I14">
        <v>0.4</v>
      </c>
      <c r="J14">
        <v>0.15</v>
      </c>
      <c r="N14">
        <v>57</v>
      </c>
      <c r="V14" s="10">
        <v>5.6073919739106803E-2</v>
      </c>
      <c r="W14" s="10">
        <f>Tabelle1[[#This Row],[WWR-total]]*4*WWR!$G$2</f>
        <v>2.6030081596745476E-2</v>
      </c>
      <c r="X14" s="10">
        <f>Tabelle1[[#This Row],[WWR-total]]*4*WWR!$H$2</f>
        <v>6.1880076807431565E-2</v>
      </c>
      <c r="Y14" s="10">
        <f>Tabelle1[[#This Row],[WWR-total]]*4*WWR!$I$2</f>
        <v>7.4505443744818572E-2</v>
      </c>
      <c r="Z14" s="10">
        <f>Tabelle1[[#This Row],[WWR-total]]*4*WWR!$J$2</f>
        <v>6.1880076807431565E-2</v>
      </c>
      <c r="AA14" t="s">
        <v>133</v>
      </c>
      <c r="AB14">
        <v>3</v>
      </c>
    </row>
    <row r="15" spans="1:29" x14ac:dyDescent="0.3">
      <c r="A15" t="s">
        <v>131</v>
      </c>
      <c r="B15" t="s">
        <v>132</v>
      </c>
      <c r="C15" t="s">
        <v>108</v>
      </c>
      <c r="D15" t="s">
        <v>128</v>
      </c>
      <c r="E15">
        <v>0.15</v>
      </c>
      <c r="F15">
        <v>0.8</v>
      </c>
      <c r="H15">
        <v>0.5</v>
      </c>
      <c r="I15">
        <v>0.39</v>
      </c>
      <c r="J15">
        <v>0.11</v>
      </c>
      <c r="N15">
        <v>47</v>
      </c>
      <c r="V15" s="10">
        <v>5.6073919739106803E-2</v>
      </c>
      <c r="W15" s="10">
        <f>Tabelle1[[#This Row],[WWR-total]]*4*WWR!$G$2</f>
        <v>2.6030081596745476E-2</v>
      </c>
      <c r="X15" s="10">
        <f>Tabelle1[[#This Row],[WWR-total]]*4*WWR!$H$2</f>
        <v>6.1880076807431565E-2</v>
      </c>
      <c r="Y15" s="10">
        <f>Tabelle1[[#This Row],[WWR-total]]*4*WWR!$I$2</f>
        <v>7.4505443744818572E-2</v>
      </c>
      <c r="Z15" s="10">
        <f>Tabelle1[[#This Row],[WWR-total]]*4*WWR!$J$2</f>
        <v>6.1880076807431565E-2</v>
      </c>
      <c r="AA15" t="s">
        <v>133</v>
      </c>
      <c r="AB15">
        <v>1.5</v>
      </c>
    </row>
    <row r="16" spans="1:29" x14ac:dyDescent="0.3">
      <c r="A16" t="s">
        <v>136</v>
      </c>
      <c r="B16" t="s">
        <v>102</v>
      </c>
      <c r="C16" t="s">
        <v>108</v>
      </c>
      <c r="D16" t="s">
        <v>109</v>
      </c>
      <c r="E16">
        <v>1.23</v>
      </c>
      <c r="F16">
        <v>1.98</v>
      </c>
      <c r="G16" t="s">
        <v>303</v>
      </c>
      <c r="H16">
        <v>0.65</v>
      </c>
      <c r="I16">
        <v>1.4</v>
      </c>
      <c r="J16">
        <v>0.49</v>
      </c>
      <c r="L16" t="s">
        <v>242</v>
      </c>
      <c r="M16" t="s">
        <v>234</v>
      </c>
      <c r="N16">
        <v>221</v>
      </c>
      <c r="O16">
        <v>243.9</v>
      </c>
      <c r="P16">
        <v>26.06</v>
      </c>
      <c r="Q16">
        <v>148.69999999999999</v>
      </c>
      <c r="R16" s="4" t="s">
        <v>245</v>
      </c>
      <c r="S16" s="5">
        <f>(Tabelle1[[#This Row],[AW]]+Tabelle1[[#This Row],[F]])/(SQRT(Tabelle1[[#This Row],[Dach/FB/KD]])*4)</f>
        <v>5.5345707544893878</v>
      </c>
      <c r="T16" s="5">
        <v>304</v>
      </c>
      <c r="U16" s="5">
        <f>(SUM(Tabelle1[[#This Row],[AW]:[F]])+2*Tabelle1[[#This Row],[Dach/FB/KD]])/(Tabelle1[[#This Row],[Dach/FB/KD]]*Tabelle1[[#This Row],[Höhe]])</f>
        <v>0.68938813021763057</v>
      </c>
      <c r="V16" s="20">
        <f>Tabelle1[[#This Row],[F]]/SUM(Tabelle1[[#This Row],[AW]:[F]])</f>
        <v>9.6532819676989193E-2</v>
      </c>
      <c r="W16" s="10">
        <f>Tabelle1[[#This Row],[WWR-total]]*4*WWR!$G$2</f>
        <v>4.4811512814637626E-2</v>
      </c>
      <c r="X16" s="10">
        <f>Tabelle1[[#This Row],[WWR-total]]*4*WWR!$H$2</f>
        <v>0.10652828130871778</v>
      </c>
      <c r="Y16" s="10">
        <f>Tabelle1[[#This Row],[WWR-total]]*4*WWR!$I$2</f>
        <v>0.12826320327588353</v>
      </c>
      <c r="Z16" s="10">
        <f>Tabelle1[[#This Row],[WWR-total]]*4*WWR!$J$2</f>
        <v>0.10652828130871778</v>
      </c>
      <c r="AA16" t="s">
        <v>139</v>
      </c>
      <c r="AB16">
        <v>4.5</v>
      </c>
    </row>
    <row r="17" spans="1:28" x14ac:dyDescent="0.3">
      <c r="A17" t="s">
        <v>137</v>
      </c>
      <c r="B17" t="s">
        <v>102</v>
      </c>
      <c r="C17" t="s">
        <v>108</v>
      </c>
      <c r="D17" t="s">
        <v>126</v>
      </c>
      <c r="E17">
        <v>0.35</v>
      </c>
      <c r="F17">
        <v>1.2</v>
      </c>
      <c r="H17">
        <v>0.6</v>
      </c>
      <c r="I17">
        <v>0.2</v>
      </c>
      <c r="J17">
        <v>0.2</v>
      </c>
      <c r="N17">
        <v>60</v>
      </c>
      <c r="V17" s="10">
        <v>9.6532819676989193E-2</v>
      </c>
      <c r="W17" s="10">
        <f>Tabelle1[[#This Row],[WWR-total]]*4*WWR!$G$2</f>
        <v>4.4811512814637626E-2</v>
      </c>
      <c r="X17" s="10">
        <f>Tabelle1[[#This Row],[WWR-total]]*4*WWR!$H$2</f>
        <v>0.10652828130871778</v>
      </c>
      <c r="Y17" s="10">
        <f>Tabelle1[[#This Row],[WWR-total]]*4*WWR!$I$2</f>
        <v>0.12826320327588353</v>
      </c>
      <c r="Z17" s="10">
        <f>Tabelle1[[#This Row],[WWR-total]]*4*WWR!$J$2</f>
        <v>0.10652828130871778</v>
      </c>
      <c r="AA17" t="s">
        <v>139</v>
      </c>
      <c r="AB17">
        <v>3</v>
      </c>
    </row>
    <row r="18" spans="1:28" x14ac:dyDescent="0.3">
      <c r="A18" t="s">
        <v>138</v>
      </c>
      <c r="B18" t="s">
        <v>102</v>
      </c>
      <c r="C18" t="s">
        <v>108</v>
      </c>
      <c r="D18" t="s">
        <v>128</v>
      </c>
      <c r="E18">
        <v>0.14000000000000001</v>
      </c>
      <c r="F18">
        <v>1.2</v>
      </c>
      <c r="H18">
        <v>0.5</v>
      </c>
      <c r="I18">
        <v>0.24</v>
      </c>
      <c r="J18">
        <v>0.14000000000000001</v>
      </c>
      <c r="N18">
        <v>39</v>
      </c>
      <c r="V18" s="10">
        <v>9.6532819676989193E-2</v>
      </c>
      <c r="W18" s="10">
        <f>Tabelle1[[#This Row],[WWR-total]]*4*WWR!$G$2</f>
        <v>4.4811512814637626E-2</v>
      </c>
      <c r="X18" s="10">
        <f>Tabelle1[[#This Row],[WWR-total]]*4*WWR!$H$2</f>
        <v>0.10652828130871778</v>
      </c>
      <c r="Y18" s="10">
        <f>Tabelle1[[#This Row],[WWR-total]]*4*WWR!$I$2</f>
        <v>0.12826320327588353</v>
      </c>
      <c r="Z18" s="10">
        <f>Tabelle1[[#This Row],[WWR-total]]*4*WWR!$J$2</f>
        <v>0.10652828130871778</v>
      </c>
      <c r="AA18" t="s">
        <v>139</v>
      </c>
      <c r="AB18">
        <v>1.5</v>
      </c>
    </row>
    <row r="19" spans="1:28" x14ac:dyDescent="0.3">
      <c r="A19" t="s">
        <v>140</v>
      </c>
      <c r="B19" t="s">
        <v>103</v>
      </c>
      <c r="C19" t="s">
        <v>108</v>
      </c>
      <c r="D19" t="s">
        <v>109</v>
      </c>
      <c r="E19">
        <v>0.9</v>
      </c>
      <c r="F19">
        <v>2.54</v>
      </c>
      <c r="G19" t="s">
        <v>248</v>
      </c>
      <c r="H19">
        <v>0.65</v>
      </c>
      <c r="I19">
        <v>1.3</v>
      </c>
      <c r="J19">
        <v>0.2</v>
      </c>
      <c r="L19" t="s">
        <v>249</v>
      </c>
      <c r="M19" t="s">
        <v>243</v>
      </c>
      <c r="N19">
        <v>235</v>
      </c>
      <c r="O19">
        <v>156.30000000000001</v>
      </c>
      <c r="P19">
        <v>23.71</v>
      </c>
      <c r="Q19" s="6">
        <v>143.80000000000001</v>
      </c>
      <c r="R19" s="4" t="s">
        <v>250</v>
      </c>
      <c r="S19" s="5">
        <f>(Tabelle1[[#This Row],[AW]]+Tabelle1[[#This Row],[F]])/(SQRT(Tabelle1[[#This Row],[Dach/FB/KD]])*4)</f>
        <v>3.752815360643905</v>
      </c>
      <c r="T19">
        <v>144</v>
      </c>
      <c r="U19" s="5">
        <f>(SUM(Tabelle1[[#This Row],[AW]:[F]])+2*Tabelle1[[#This Row],[Dach/FB/KD]])/(Tabelle1[[#This Row],[Dach/FB/KD]]*Tabelle1[[#This Row],[Höhe]])</f>
        <v>0.86649828309204247</v>
      </c>
      <c r="V19" s="20">
        <f>Tabelle1[[#This Row],[F]]/SUM(Tabelle1[[#This Row],[AW]:[F]])</f>
        <v>0.13171490472751513</v>
      </c>
      <c r="W19" s="10">
        <f>Tabelle1[[#This Row],[WWR-total]]*4*WWR!$G$2</f>
        <v>6.114339310532723E-2</v>
      </c>
      <c r="X19" s="10">
        <f>Tabelle1[[#This Row],[WWR-total]]*4*WWR!$H$2</f>
        <v>0.14535328472030937</v>
      </c>
      <c r="Y19" s="10">
        <f>Tabelle1[[#This Row],[WWR-total]]*4*WWR!$I$2</f>
        <v>0.17500965636411447</v>
      </c>
      <c r="Z19" s="10">
        <f>Tabelle1[[#This Row],[WWR-total]]*4*WWR!$J$2</f>
        <v>0.14535328472030937</v>
      </c>
      <c r="AA19" t="s">
        <v>139</v>
      </c>
      <c r="AB19">
        <v>4.5</v>
      </c>
    </row>
    <row r="20" spans="1:28" x14ac:dyDescent="0.3">
      <c r="A20" t="s">
        <v>141</v>
      </c>
      <c r="B20" t="s">
        <v>103</v>
      </c>
      <c r="C20" t="s">
        <v>108</v>
      </c>
      <c r="D20" t="s">
        <v>126</v>
      </c>
      <c r="E20">
        <v>0.2</v>
      </c>
      <c r="F20">
        <v>1</v>
      </c>
      <c r="H20">
        <v>0.6</v>
      </c>
      <c r="I20">
        <v>0.4</v>
      </c>
      <c r="J20">
        <v>0.15</v>
      </c>
      <c r="N20">
        <v>69</v>
      </c>
      <c r="V20" s="10">
        <v>0.13171490472751513</v>
      </c>
      <c r="W20" s="10">
        <f>Tabelle1[[#This Row],[WWR-total]]*4*WWR!$G$2</f>
        <v>6.114339310532723E-2</v>
      </c>
      <c r="X20" s="10">
        <f>Tabelle1[[#This Row],[WWR-total]]*4*WWR!$H$2</f>
        <v>0.14535328472030937</v>
      </c>
      <c r="Y20" s="10">
        <f>Tabelle1[[#This Row],[WWR-total]]*4*WWR!$I$2</f>
        <v>0.17500965636411447</v>
      </c>
      <c r="Z20" s="10">
        <f>Tabelle1[[#This Row],[WWR-total]]*4*WWR!$J$2</f>
        <v>0.14535328472030937</v>
      </c>
      <c r="AA20" t="s">
        <v>139</v>
      </c>
      <c r="AB20">
        <v>3</v>
      </c>
    </row>
    <row r="21" spans="1:28" x14ac:dyDescent="0.3">
      <c r="A21" t="s">
        <v>142</v>
      </c>
      <c r="B21" t="s">
        <v>103</v>
      </c>
      <c r="C21" t="s">
        <v>108</v>
      </c>
      <c r="D21" t="s">
        <v>128</v>
      </c>
      <c r="E21">
        <v>0.15</v>
      </c>
      <c r="F21">
        <v>0.8</v>
      </c>
      <c r="H21">
        <v>0.5</v>
      </c>
      <c r="I21">
        <v>0.3</v>
      </c>
      <c r="J21">
        <v>0.1</v>
      </c>
      <c r="N21">
        <v>51</v>
      </c>
      <c r="V21" s="10">
        <v>0.13171490472751513</v>
      </c>
      <c r="W21" s="10">
        <f>Tabelle1[[#This Row],[WWR-total]]*4*WWR!$G$2</f>
        <v>6.114339310532723E-2</v>
      </c>
      <c r="X21" s="10">
        <f>Tabelle1[[#This Row],[WWR-total]]*4*WWR!$H$2</f>
        <v>0.14535328472030937</v>
      </c>
      <c r="Y21" s="10">
        <f>Tabelle1[[#This Row],[WWR-total]]*4*WWR!$I$2</f>
        <v>0.17500965636411447</v>
      </c>
      <c r="Z21" s="10">
        <f>Tabelle1[[#This Row],[WWR-total]]*4*WWR!$J$2</f>
        <v>0.14535328472030937</v>
      </c>
      <c r="AA21" t="s">
        <v>133</v>
      </c>
      <c r="AB21">
        <v>1.5</v>
      </c>
    </row>
    <row r="22" spans="1:28" x14ac:dyDescent="0.3">
      <c r="A22" t="s">
        <v>143</v>
      </c>
      <c r="B22" t="s">
        <v>104</v>
      </c>
      <c r="C22" t="s">
        <v>108</v>
      </c>
      <c r="D22" t="s">
        <v>109</v>
      </c>
      <c r="E22">
        <v>1.24</v>
      </c>
      <c r="F22">
        <v>1.5</v>
      </c>
      <c r="G22" t="s">
        <v>251</v>
      </c>
      <c r="H22">
        <v>0.65</v>
      </c>
      <c r="I22">
        <v>0.88</v>
      </c>
      <c r="J22">
        <v>0.25</v>
      </c>
      <c r="L22" t="s">
        <v>252</v>
      </c>
      <c r="M22" t="s">
        <v>253</v>
      </c>
      <c r="N22">
        <v>229</v>
      </c>
      <c r="O22">
        <v>265.8</v>
      </c>
      <c r="P22">
        <v>37.06</v>
      </c>
      <c r="Q22">
        <v>104</v>
      </c>
      <c r="R22" s="4" t="s">
        <v>254</v>
      </c>
      <c r="S22" s="5">
        <f>(Tabelle1[[#This Row],[AW]]+Tabelle1[[#This Row],[F]])/(SQRT(Tabelle1[[#This Row],[Dach/FB/KD]])*4)</f>
        <v>7.4244665859938026</v>
      </c>
      <c r="T22">
        <v>178</v>
      </c>
      <c r="U22" s="5">
        <f>(SUM(Tabelle1[[#This Row],[AW]:[F]])+2*Tabelle1[[#This Row],[Dach/FB/KD]])/(Tabelle1[[#This Row],[Dach/FB/KD]]*Tabelle1[[#This Row],[Höhe]])</f>
        <v>0.66161189194144288</v>
      </c>
      <c r="V22" s="20">
        <f>Tabelle1[[#This Row],[F]]/SUM(Tabelle1[[#This Row],[AW]:[F]])</f>
        <v>0.12236677012481015</v>
      </c>
      <c r="W22" s="10">
        <f>Tabelle1[[#This Row],[WWR-total]]*4*WWR!$G$2</f>
        <v>5.6803894321972755E-2</v>
      </c>
      <c r="X22" s="10">
        <f>Tabelle1[[#This Row],[WWR-total]]*4*WWR!$H$2</f>
        <v>0.13503720034609423</v>
      </c>
      <c r="Y22" s="10">
        <f>Tabelle1[[#This Row],[WWR-total]]*4*WWR!$I$2</f>
        <v>0.1625887854850793</v>
      </c>
      <c r="Z22" s="10">
        <f>Tabelle1[[#This Row],[WWR-total]]*4*WWR!$J$2</f>
        <v>0.13503720034609423</v>
      </c>
      <c r="AA22" t="s">
        <v>139</v>
      </c>
      <c r="AB22">
        <v>4.5</v>
      </c>
    </row>
    <row r="23" spans="1:28" x14ac:dyDescent="0.3">
      <c r="A23" t="s">
        <v>144</v>
      </c>
      <c r="B23" t="s">
        <v>104</v>
      </c>
      <c r="C23" t="s">
        <v>108</v>
      </c>
      <c r="D23" t="s">
        <v>126</v>
      </c>
      <c r="E23">
        <v>0.2</v>
      </c>
      <c r="F23">
        <v>1</v>
      </c>
      <c r="H23">
        <v>0.6</v>
      </c>
      <c r="I23">
        <v>0.88</v>
      </c>
      <c r="J23">
        <v>0.25</v>
      </c>
      <c r="N23">
        <v>69</v>
      </c>
      <c r="V23" s="10">
        <v>0.12236677012481015</v>
      </c>
      <c r="W23" s="10">
        <f>Tabelle1[[#This Row],[WWR-total]]*4*WWR!$G$2</f>
        <v>5.6803894321972755E-2</v>
      </c>
      <c r="X23" s="10">
        <f>Tabelle1[[#This Row],[WWR-total]]*4*WWR!$H$2</f>
        <v>0.13503720034609423</v>
      </c>
      <c r="Y23" s="10">
        <f>Tabelle1[[#This Row],[WWR-total]]*4*WWR!$I$2</f>
        <v>0.1625887854850793</v>
      </c>
      <c r="Z23" s="10">
        <f>Tabelle1[[#This Row],[WWR-total]]*4*WWR!$J$2</f>
        <v>0.13503720034609423</v>
      </c>
      <c r="AA23" t="s">
        <v>139</v>
      </c>
      <c r="AB23">
        <v>3</v>
      </c>
    </row>
    <row r="24" spans="1:28" x14ac:dyDescent="0.3">
      <c r="A24" t="s">
        <v>145</v>
      </c>
      <c r="B24" t="s">
        <v>104</v>
      </c>
      <c r="C24" t="s">
        <v>108</v>
      </c>
      <c r="D24" t="s">
        <v>128</v>
      </c>
      <c r="E24">
        <v>0.17</v>
      </c>
      <c r="F24">
        <v>0.8</v>
      </c>
      <c r="H24">
        <v>0.5</v>
      </c>
      <c r="I24">
        <v>0.4</v>
      </c>
      <c r="J24">
        <v>0.1</v>
      </c>
      <c r="N24">
        <v>44</v>
      </c>
      <c r="V24" s="10">
        <v>0.12236677012481015</v>
      </c>
      <c r="W24" s="10">
        <f>Tabelle1[[#This Row],[WWR-total]]*4*WWR!$G$2</f>
        <v>5.6803894321972755E-2</v>
      </c>
      <c r="X24" s="10">
        <f>Tabelle1[[#This Row],[WWR-total]]*4*WWR!$H$2</f>
        <v>0.13503720034609423</v>
      </c>
      <c r="Y24" s="10">
        <f>Tabelle1[[#This Row],[WWR-total]]*4*WWR!$I$2</f>
        <v>0.1625887854850793</v>
      </c>
      <c r="Z24" s="10">
        <f>Tabelle1[[#This Row],[WWR-total]]*4*WWR!$J$2</f>
        <v>0.13503720034609423</v>
      </c>
      <c r="AA24" t="s">
        <v>133</v>
      </c>
      <c r="AB24">
        <v>1.5</v>
      </c>
    </row>
    <row r="25" spans="1:28" x14ac:dyDescent="0.3">
      <c r="A25" t="s">
        <v>146</v>
      </c>
      <c r="B25" t="s">
        <v>105</v>
      </c>
      <c r="C25" t="s">
        <v>108</v>
      </c>
      <c r="D25" t="s">
        <v>109</v>
      </c>
      <c r="E25">
        <v>0.25</v>
      </c>
      <c r="F25">
        <v>1.8</v>
      </c>
      <c r="G25" t="s">
        <v>251</v>
      </c>
      <c r="H25">
        <v>0.65</v>
      </c>
      <c r="I25">
        <v>0.59</v>
      </c>
      <c r="J25">
        <v>0.15</v>
      </c>
      <c r="L25" t="s">
        <v>255</v>
      </c>
      <c r="M25" t="s">
        <v>256</v>
      </c>
      <c r="N25">
        <v>92</v>
      </c>
      <c r="O25">
        <v>193.2</v>
      </c>
      <c r="P25">
        <v>50.16</v>
      </c>
      <c r="Q25">
        <v>126.3</v>
      </c>
      <c r="R25" s="4" t="s">
        <v>257</v>
      </c>
      <c r="S25" s="5">
        <f>(Tabelle1[[#This Row],[AW]]+Tabelle1[[#This Row],[F]])/(SQRT(Tabelle1[[#This Row],[Dach/FB/KD]])*4)</f>
        <v>5.4136170354187199</v>
      </c>
      <c r="T25">
        <v>150</v>
      </c>
      <c r="U25" s="5">
        <f>(SUM(Tabelle1[[#This Row],[AW]:[F]])+2*Tabelle1[[#This Row],[Dach/FB/KD]])/(Tabelle1[[#This Row],[Dach/FB/KD]]*Tabelle1[[#This Row],[Höhe]])</f>
        <v>0.72536362092394735</v>
      </c>
      <c r="V25" s="20">
        <f>Tabelle1[[#This Row],[F]]/SUM(Tabelle1[[#This Row],[AW]:[F]])</f>
        <v>0.20611439842209073</v>
      </c>
      <c r="W25" s="10">
        <f>Tabelle1[[#This Row],[WWR-total]]*4*WWR!$G$2</f>
        <v>9.5680391778450516E-2</v>
      </c>
      <c r="X25" s="10">
        <f>Tabelle1[[#This Row],[WWR-total]]*4*WWR!$H$2</f>
        <v>0.22745645149863547</v>
      </c>
      <c r="Y25" s="10">
        <f>Tabelle1[[#This Row],[WWR-total]]*4*WWR!$I$2</f>
        <v>0.2738642989126413</v>
      </c>
      <c r="Z25" s="10">
        <f>Tabelle1[[#This Row],[WWR-total]]*4*WWR!$J$2</f>
        <v>0.22745645149863547</v>
      </c>
      <c r="AA25" t="s">
        <v>139</v>
      </c>
      <c r="AB25">
        <v>3</v>
      </c>
    </row>
    <row r="26" spans="1:28" x14ac:dyDescent="0.3">
      <c r="A26" t="s">
        <v>147</v>
      </c>
      <c r="B26" t="s">
        <v>105</v>
      </c>
      <c r="C26" t="s">
        <v>108</v>
      </c>
      <c r="D26" t="s">
        <v>126</v>
      </c>
      <c r="E26">
        <v>0.25</v>
      </c>
      <c r="F26">
        <v>1.1000000000000001</v>
      </c>
      <c r="H26">
        <v>0.6</v>
      </c>
      <c r="I26">
        <v>0.59</v>
      </c>
      <c r="J26">
        <v>0.1</v>
      </c>
      <c r="N26">
        <v>69</v>
      </c>
      <c r="V26" s="10">
        <v>0.20611439842209073</v>
      </c>
      <c r="W26" s="10">
        <f>Tabelle1[[#This Row],[WWR-total]]*4*WWR!$G$2</f>
        <v>9.5680391778450516E-2</v>
      </c>
      <c r="X26" s="10">
        <f>Tabelle1[[#This Row],[WWR-total]]*4*WWR!$H$2</f>
        <v>0.22745645149863547</v>
      </c>
      <c r="Y26" s="10">
        <f>Tabelle1[[#This Row],[WWR-total]]*4*WWR!$I$2</f>
        <v>0.2738642989126413</v>
      </c>
      <c r="Z26" s="10">
        <f>Tabelle1[[#This Row],[WWR-total]]*4*WWR!$J$2</f>
        <v>0.22745645149863547</v>
      </c>
      <c r="AA26" t="s">
        <v>139</v>
      </c>
      <c r="AB26">
        <v>3</v>
      </c>
    </row>
    <row r="27" spans="1:28" x14ac:dyDescent="0.3">
      <c r="A27" t="s">
        <v>148</v>
      </c>
      <c r="B27" t="s">
        <v>105</v>
      </c>
      <c r="C27" t="s">
        <v>108</v>
      </c>
      <c r="D27" t="s">
        <v>128</v>
      </c>
      <c r="E27">
        <v>0.2</v>
      </c>
      <c r="F27">
        <v>0.8</v>
      </c>
      <c r="H27">
        <v>0.5</v>
      </c>
      <c r="I27">
        <v>0.4</v>
      </c>
      <c r="J27">
        <v>0.1</v>
      </c>
      <c r="N27">
        <v>48</v>
      </c>
      <c r="V27" s="10">
        <v>0.20611439842209073</v>
      </c>
      <c r="W27" s="10">
        <f>Tabelle1[[#This Row],[WWR-total]]*4*WWR!$G$2</f>
        <v>9.5680391778450516E-2</v>
      </c>
      <c r="X27" s="10">
        <f>Tabelle1[[#This Row],[WWR-total]]*4*WWR!$H$2</f>
        <v>0.22745645149863547</v>
      </c>
      <c r="Y27" s="10">
        <f>Tabelle1[[#This Row],[WWR-total]]*4*WWR!$I$2</f>
        <v>0.2738642989126413</v>
      </c>
      <c r="Z27" s="10">
        <f>Tabelle1[[#This Row],[WWR-total]]*4*WWR!$J$2</f>
        <v>0.22745645149863547</v>
      </c>
      <c r="AA27" t="s">
        <v>133</v>
      </c>
      <c r="AB27">
        <v>1.5</v>
      </c>
    </row>
    <row r="28" spans="1:28" x14ac:dyDescent="0.3">
      <c r="A28" t="s">
        <v>149</v>
      </c>
      <c r="B28" t="s">
        <v>150</v>
      </c>
      <c r="C28" t="s">
        <v>108</v>
      </c>
      <c r="D28" t="s">
        <v>109</v>
      </c>
      <c r="E28">
        <v>0.16</v>
      </c>
      <c r="F28">
        <v>1.4</v>
      </c>
      <c r="G28" t="s">
        <v>258</v>
      </c>
      <c r="H28">
        <v>0.6</v>
      </c>
      <c r="I28">
        <v>0.21</v>
      </c>
      <c r="J28">
        <v>0.17</v>
      </c>
      <c r="L28" t="s">
        <v>259</v>
      </c>
      <c r="M28" t="s">
        <v>262</v>
      </c>
      <c r="N28">
        <v>43</v>
      </c>
      <c r="O28">
        <v>226.3</v>
      </c>
      <c r="P28">
        <v>31.7</v>
      </c>
      <c r="Q28">
        <v>95.9</v>
      </c>
      <c r="R28" s="4" t="s">
        <v>244</v>
      </c>
      <c r="S28" s="5">
        <f>(Tabelle1[[#This Row],[AW]]+Tabelle1[[#This Row],[F]])/(SQRT(Tabelle1[[#This Row],[Dach/FB/KD]])*4)</f>
        <v>6.5864350124401119</v>
      </c>
      <c r="T28">
        <v>182</v>
      </c>
      <c r="U28" s="5">
        <f>(SUM(Tabelle1[[#This Row],[AW]:[F]])+2*Tabelle1[[#This Row],[Dach/FB/KD]])/(Tabelle1[[#This Row],[Dach/FB/KD]]*Tabelle1[[#This Row],[Höhe]])</f>
        <v>0.71211549031802479</v>
      </c>
      <c r="V28" s="20">
        <f>Tabelle1[[#This Row],[F]]/SUM(Tabelle1[[#This Row],[AW]:[F]])</f>
        <v>0.12286821705426357</v>
      </c>
      <c r="W28" s="10">
        <f>Tabelle1[[#This Row],[WWR-total]]*4*WWR!$G$2</f>
        <v>5.7036671066506395E-2</v>
      </c>
      <c r="X28" s="10">
        <f>Tabelle1[[#This Row],[WWR-total]]*4*WWR!$H$2</f>
        <v>0.13559056944627126</v>
      </c>
      <c r="Y28" s="10">
        <f>Tabelle1[[#This Row],[WWR-total]]*4*WWR!$I$2</f>
        <v>0.16325505825800526</v>
      </c>
      <c r="Z28" s="10">
        <f>Tabelle1[[#This Row],[WWR-total]]*4*WWR!$J$2</f>
        <v>0.13559056944627126</v>
      </c>
      <c r="AA28" t="s">
        <v>133</v>
      </c>
      <c r="AB28">
        <v>3</v>
      </c>
    </row>
    <row r="29" spans="1:28" x14ac:dyDescent="0.3">
      <c r="A29" t="s">
        <v>151</v>
      </c>
      <c r="B29" t="s">
        <v>152</v>
      </c>
      <c r="C29" t="s">
        <v>108</v>
      </c>
      <c r="D29" t="s">
        <v>109</v>
      </c>
      <c r="E29">
        <v>0.08</v>
      </c>
      <c r="F29">
        <v>0.7</v>
      </c>
      <c r="G29" t="s">
        <v>260</v>
      </c>
      <c r="H29">
        <v>0.5</v>
      </c>
      <c r="I29">
        <v>0.1</v>
      </c>
      <c r="J29">
        <v>0.1</v>
      </c>
      <c r="L29" t="s">
        <v>261</v>
      </c>
      <c r="M29" t="s">
        <v>262</v>
      </c>
      <c r="N29">
        <v>24</v>
      </c>
      <c r="O29">
        <v>226.3</v>
      </c>
      <c r="P29">
        <v>31.74</v>
      </c>
      <c r="Q29">
        <v>95.9</v>
      </c>
      <c r="R29" s="4" t="s">
        <v>244</v>
      </c>
      <c r="S29" s="5">
        <f>(Tabelle1[[#This Row],[AW]]+Tabelle1[[#This Row],[F]])/(SQRT(Tabelle1[[#This Row],[Dach/FB/KD]])*4)</f>
        <v>6.5874561651552197</v>
      </c>
      <c r="T29">
        <v>182</v>
      </c>
      <c r="U29" s="5">
        <f>(SUM(Tabelle1[[#This Row],[AW]:[F]])+2*Tabelle1[[#This Row],[Dach/FB/KD]])/(Tabelle1[[#This Row],[Dach/FB/KD]]*Tabelle1[[#This Row],[Höhe]])</f>
        <v>0.71206841941362609</v>
      </c>
      <c r="V29" s="20">
        <f>Tabelle1[[#This Row],[F]]/SUM(Tabelle1[[#This Row],[AW]:[F]])</f>
        <v>0.12300418539761276</v>
      </c>
      <c r="W29" s="10">
        <f>Tabelle1[[#This Row],[WWR-total]]*4*WWR!$G$2</f>
        <v>5.7099788948909137E-2</v>
      </c>
      <c r="X29" s="10">
        <f>Tabelle1[[#This Row],[WWR-total]]*4*WWR!$H$2</f>
        <v>0.13574061659062953</v>
      </c>
      <c r="Y29" s="10">
        <f>Tabelle1[[#This Row],[WWR-total]]*4*WWR!$I$2</f>
        <v>0.16343571946028279</v>
      </c>
      <c r="Z29" s="10">
        <f>Tabelle1[[#This Row],[WWR-total]]*4*WWR!$J$2</f>
        <v>0.13574061659062953</v>
      </c>
      <c r="AA29" t="s">
        <v>153</v>
      </c>
      <c r="AB29">
        <v>1.5</v>
      </c>
    </row>
    <row r="30" spans="1:28" hidden="1" x14ac:dyDescent="0.3">
      <c r="B30" t="s">
        <v>100</v>
      </c>
      <c r="C30" t="s">
        <v>154</v>
      </c>
      <c r="D30" t="s">
        <v>109</v>
      </c>
      <c r="E30">
        <v>1.8</v>
      </c>
      <c r="F30">
        <v>2.2000000000000002</v>
      </c>
      <c r="I30">
        <v>1.2</v>
      </c>
      <c r="J30">
        <v>1.1000000000000001</v>
      </c>
      <c r="N30" t="s">
        <v>113</v>
      </c>
      <c r="V30" s="10"/>
      <c r="W30" s="10">
        <f>Tabelle1[[#This Row],[WWR-total]]*4*WWR!$G$2</f>
        <v>0</v>
      </c>
      <c r="X30" s="10">
        <f>Tabelle1[[#This Row],[WWR-total]]*4*WWR!$H$2</f>
        <v>0</v>
      </c>
      <c r="Y30" s="10">
        <f>Tabelle1[[#This Row],[WWR-total]]*4*WWR!$I$2</f>
        <v>0</v>
      </c>
      <c r="Z30" s="10">
        <f>Tabelle1[[#This Row],[WWR-total]]*4*WWR!$J$2</f>
        <v>0</v>
      </c>
    </row>
    <row r="31" spans="1:28" hidden="1" x14ac:dyDescent="0.3">
      <c r="B31" t="s">
        <v>101</v>
      </c>
      <c r="C31" t="s">
        <v>154</v>
      </c>
      <c r="D31" t="s">
        <v>109</v>
      </c>
      <c r="E31">
        <v>1.8</v>
      </c>
      <c r="F31">
        <v>2.2999999999999998</v>
      </c>
      <c r="I31">
        <v>1.2</v>
      </c>
      <c r="J31">
        <v>0.8</v>
      </c>
      <c r="N31" t="s">
        <v>114</v>
      </c>
      <c r="V31" s="10"/>
      <c r="W31" s="10">
        <f>Tabelle1[[#This Row],[WWR-total]]*4*WWR!$G$2</f>
        <v>0</v>
      </c>
      <c r="X31" s="10">
        <f>Tabelle1[[#This Row],[WWR-total]]*4*WWR!$H$2</f>
        <v>0</v>
      </c>
      <c r="Y31" s="10">
        <f>Tabelle1[[#This Row],[WWR-total]]*4*WWR!$I$2</f>
        <v>0</v>
      </c>
      <c r="Z31" s="10">
        <f>Tabelle1[[#This Row],[WWR-total]]*4*WWR!$J$2</f>
        <v>0</v>
      </c>
    </row>
    <row r="32" spans="1:28" hidden="1" x14ac:dyDescent="0.3">
      <c r="B32" t="s">
        <v>102</v>
      </c>
      <c r="C32" t="s">
        <v>154</v>
      </c>
      <c r="D32" t="s">
        <v>109</v>
      </c>
      <c r="E32">
        <v>1.6</v>
      </c>
      <c r="F32">
        <v>2.2999999999999998</v>
      </c>
      <c r="I32">
        <v>1.2</v>
      </c>
      <c r="J32">
        <v>0.8</v>
      </c>
      <c r="N32" t="s">
        <v>115</v>
      </c>
      <c r="V32" s="10"/>
      <c r="W32" s="10">
        <f>Tabelle1[[#This Row],[WWR-total]]*4*WWR!$G$2</f>
        <v>0</v>
      </c>
      <c r="X32" s="10">
        <f>Tabelle1[[#This Row],[WWR-total]]*4*WWR!$H$2</f>
        <v>0</v>
      </c>
      <c r="Y32" s="10">
        <f>Tabelle1[[#This Row],[WWR-total]]*4*WWR!$I$2</f>
        <v>0</v>
      </c>
      <c r="Z32" s="10">
        <f>Tabelle1[[#This Row],[WWR-total]]*4*WWR!$J$2</f>
        <v>0</v>
      </c>
    </row>
    <row r="33" spans="1:28" hidden="1" x14ac:dyDescent="0.3">
      <c r="B33" t="s">
        <v>103</v>
      </c>
      <c r="C33" t="s">
        <v>154</v>
      </c>
      <c r="D33" t="s">
        <v>109</v>
      </c>
      <c r="E33">
        <v>1.4</v>
      </c>
      <c r="F33">
        <v>2.7</v>
      </c>
      <c r="I33">
        <v>0.8</v>
      </c>
      <c r="J33">
        <v>0.7</v>
      </c>
      <c r="N33" t="s">
        <v>116</v>
      </c>
      <c r="V33" s="10"/>
      <c r="W33" s="10">
        <f>Tabelle1[[#This Row],[WWR-total]]*4*WWR!$G$2</f>
        <v>0</v>
      </c>
      <c r="X33" s="10">
        <f>Tabelle1[[#This Row],[WWR-total]]*4*WWR!$H$2</f>
        <v>0</v>
      </c>
      <c r="Y33" s="10">
        <f>Tabelle1[[#This Row],[WWR-total]]*4*WWR!$I$2</f>
        <v>0</v>
      </c>
      <c r="Z33" s="10">
        <f>Tabelle1[[#This Row],[WWR-total]]*4*WWR!$J$2</f>
        <v>0</v>
      </c>
    </row>
    <row r="34" spans="1:28" hidden="1" x14ac:dyDescent="0.3">
      <c r="B34" t="s">
        <v>104</v>
      </c>
      <c r="C34" t="s">
        <v>154</v>
      </c>
      <c r="D34" t="s">
        <v>109</v>
      </c>
      <c r="E34">
        <v>0.7</v>
      </c>
      <c r="F34">
        <v>2.5</v>
      </c>
      <c r="I34">
        <v>0.5</v>
      </c>
      <c r="J34">
        <v>0.4</v>
      </c>
      <c r="N34" t="s">
        <v>117</v>
      </c>
      <c r="V34" s="10"/>
      <c r="W34" s="10">
        <f>Tabelle1[[#This Row],[WWR-total]]*4*WWR!$G$2</f>
        <v>0</v>
      </c>
      <c r="X34" s="10">
        <f>Tabelle1[[#This Row],[WWR-total]]*4*WWR!$H$2</f>
        <v>0</v>
      </c>
      <c r="Y34" s="10">
        <f>Tabelle1[[#This Row],[WWR-total]]*4*WWR!$I$2</f>
        <v>0</v>
      </c>
      <c r="Z34" s="10">
        <f>Tabelle1[[#This Row],[WWR-total]]*4*WWR!$J$2</f>
        <v>0</v>
      </c>
    </row>
    <row r="35" spans="1:28" hidden="1" x14ac:dyDescent="0.3">
      <c r="B35" t="s">
        <v>105</v>
      </c>
      <c r="C35" t="s">
        <v>154</v>
      </c>
      <c r="D35" t="s">
        <v>109</v>
      </c>
      <c r="E35">
        <v>0.4</v>
      </c>
      <c r="F35">
        <v>1.8</v>
      </c>
      <c r="I35">
        <v>0.5</v>
      </c>
      <c r="J35">
        <v>0.3</v>
      </c>
      <c r="N35" t="s">
        <v>118</v>
      </c>
      <c r="V35" s="10"/>
      <c r="W35" s="10">
        <f>Tabelle1[[#This Row],[WWR-total]]*4*WWR!$G$2</f>
        <v>0</v>
      </c>
      <c r="X35" s="10">
        <f>Tabelle1[[#This Row],[WWR-total]]*4*WWR!$H$2</f>
        <v>0</v>
      </c>
      <c r="Y35" s="10">
        <f>Tabelle1[[#This Row],[WWR-total]]*4*WWR!$I$2</f>
        <v>0</v>
      </c>
      <c r="Z35" s="10">
        <f>Tabelle1[[#This Row],[WWR-total]]*4*WWR!$J$2</f>
        <v>0</v>
      </c>
    </row>
    <row r="36" spans="1:28" hidden="1" x14ac:dyDescent="0.3">
      <c r="B36" t="s">
        <v>155</v>
      </c>
      <c r="C36" t="s">
        <v>154</v>
      </c>
      <c r="D36" t="s">
        <v>109</v>
      </c>
      <c r="E36">
        <v>0.35</v>
      </c>
      <c r="F36">
        <v>1.4</v>
      </c>
      <c r="I36">
        <v>0.4</v>
      </c>
      <c r="J36">
        <v>0.2</v>
      </c>
      <c r="N36" s="3" t="s">
        <v>119</v>
      </c>
      <c r="O36" s="3"/>
      <c r="P36" s="3"/>
      <c r="Q36" s="3"/>
      <c r="R36" s="3"/>
      <c r="S36" s="3"/>
      <c r="T36" s="3"/>
      <c r="U36" s="3"/>
      <c r="V36" s="10"/>
      <c r="W36" s="10">
        <f>Tabelle1[[#This Row],[WWR-total]]*4*WWR!$G$2</f>
        <v>0</v>
      </c>
      <c r="X36" s="10">
        <f>Tabelle1[[#This Row],[WWR-total]]*4*WWR!$H$2</f>
        <v>0</v>
      </c>
      <c r="Y36" s="10">
        <f>Tabelle1[[#This Row],[WWR-total]]*4*WWR!$I$2</f>
        <v>0</v>
      </c>
      <c r="Z36" s="10">
        <f>Tabelle1[[#This Row],[WWR-total]]*4*WWR!$J$2</f>
        <v>0</v>
      </c>
    </row>
    <row r="37" spans="1:28" hidden="1" x14ac:dyDescent="0.3">
      <c r="B37" t="s">
        <v>107</v>
      </c>
      <c r="C37" t="s">
        <v>154</v>
      </c>
      <c r="D37" t="s">
        <v>109</v>
      </c>
      <c r="E37">
        <v>0.1</v>
      </c>
      <c r="F37">
        <v>0.6</v>
      </c>
      <c r="I37">
        <v>0.25</v>
      </c>
      <c r="J37">
        <v>0.1</v>
      </c>
      <c r="N37" s="3" t="s">
        <v>120</v>
      </c>
      <c r="O37" s="3"/>
      <c r="P37" s="3"/>
      <c r="Q37" s="3"/>
      <c r="R37" s="3"/>
      <c r="S37" s="3"/>
      <c r="T37" s="3"/>
      <c r="U37" s="3"/>
      <c r="V37" s="10"/>
      <c r="W37" s="10">
        <f>Tabelle1[[#This Row],[WWR-total]]*4*WWR!$G$2</f>
        <v>0</v>
      </c>
      <c r="X37" s="10">
        <f>Tabelle1[[#This Row],[WWR-total]]*4*WWR!$H$2</f>
        <v>0</v>
      </c>
      <c r="Y37" s="10">
        <f>Tabelle1[[#This Row],[WWR-total]]*4*WWR!$I$2</f>
        <v>0</v>
      </c>
      <c r="Z37" s="10">
        <f>Tabelle1[[#This Row],[WWR-total]]*4*WWR!$J$2</f>
        <v>0</v>
      </c>
    </row>
    <row r="38" spans="1:28" x14ac:dyDescent="0.3">
      <c r="A38" t="s">
        <v>156</v>
      </c>
      <c r="B38" t="s">
        <v>122</v>
      </c>
      <c r="C38" t="s">
        <v>154</v>
      </c>
      <c r="D38" t="s">
        <v>109</v>
      </c>
      <c r="E38">
        <v>1.2</v>
      </c>
      <c r="F38">
        <v>2.2000000000000002</v>
      </c>
      <c r="G38" t="s">
        <v>263</v>
      </c>
      <c r="H38">
        <v>0.65</v>
      </c>
      <c r="I38">
        <v>0.9</v>
      </c>
      <c r="J38">
        <v>1.05</v>
      </c>
      <c r="L38" t="s">
        <v>264</v>
      </c>
      <c r="M38" t="s">
        <v>234</v>
      </c>
      <c r="N38">
        <v>203</v>
      </c>
      <c r="O38">
        <v>295.5</v>
      </c>
      <c r="P38">
        <v>32.5</v>
      </c>
      <c r="Q38">
        <v>242.7</v>
      </c>
      <c r="R38" s="4" t="s">
        <v>265</v>
      </c>
      <c r="S38" s="5">
        <f>(Tabelle1[[#This Row],[AW]]+Tabelle1[[#This Row],[F]])/(SQRT(Tabelle1[[#This Row],[Dach/FB/KD]])*4)</f>
        <v>5.2635525625668445</v>
      </c>
      <c r="T38">
        <v>430</v>
      </c>
      <c r="U38" s="5">
        <f>(SUM(Tabelle1[[#This Row],[AW]:[F]])+2*Tabelle1[[#This Row],[Dach/FB/KD]])/(Tabelle1[[#This Row],[Dach/FB/KD]]*Tabelle1[[#This Row],[Höhe]])</f>
        <v>0.63673016870789279</v>
      </c>
      <c r="V38" s="20">
        <f>Tabelle1[[#This Row],[F]]/SUM(Tabelle1[[#This Row],[AW]:[F]])</f>
        <v>9.9085365853658541E-2</v>
      </c>
      <c r="W38" s="10">
        <f>Tabelle1[[#This Row],[WWR-total]]*4*WWR!$G$2</f>
        <v>4.5996430608280389E-2</v>
      </c>
      <c r="X38" s="10">
        <f>Tabelle1[[#This Row],[WWR-total]]*4*WWR!$H$2</f>
        <v>0.10934513010761951</v>
      </c>
      <c r="Y38" s="10">
        <f>Tabelle1[[#This Row],[WWR-total]]*4*WWR!$I$2</f>
        <v>0.13165477259111469</v>
      </c>
      <c r="Z38" s="10">
        <f>Tabelle1[[#This Row],[WWR-total]]*4*WWR!$J$2</f>
        <v>0.10934513010761951</v>
      </c>
      <c r="AA38" t="s">
        <v>176</v>
      </c>
      <c r="AB38">
        <v>4.5</v>
      </c>
    </row>
    <row r="39" spans="1:28" x14ac:dyDescent="0.3">
      <c r="A39" t="s">
        <v>157</v>
      </c>
      <c r="B39" t="s">
        <v>122</v>
      </c>
      <c r="C39" t="s">
        <v>154</v>
      </c>
      <c r="D39" t="s">
        <v>126</v>
      </c>
      <c r="E39">
        <v>0.35</v>
      </c>
      <c r="F39">
        <v>1.1000000000000001</v>
      </c>
      <c r="H39">
        <v>0.6</v>
      </c>
      <c r="I39">
        <v>0.35</v>
      </c>
      <c r="J39">
        <v>0.15</v>
      </c>
      <c r="N39">
        <v>53</v>
      </c>
      <c r="V39" s="10">
        <v>9.9085365853658541E-2</v>
      </c>
      <c r="W39" s="10">
        <f>Tabelle1[[#This Row],[WWR-total]]*4*WWR!$G$2</f>
        <v>4.5996430608280389E-2</v>
      </c>
      <c r="X39" s="10">
        <f>Tabelle1[[#This Row],[WWR-total]]*4*WWR!$H$2</f>
        <v>0.10934513010761951</v>
      </c>
      <c r="Y39" s="10">
        <f>Tabelle1[[#This Row],[WWR-total]]*4*WWR!$I$2</f>
        <v>0.13165477259111469</v>
      </c>
      <c r="Z39" s="10">
        <f>Tabelle1[[#This Row],[WWR-total]]*4*WWR!$J$2</f>
        <v>0.10934513010761951</v>
      </c>
      <c r="AA39" t="s">
        <v>135</v>
      </c>
      <c r="AB39">
        <v>3</v>
      </c>
    </row>
    <row r="40" spans="1:28" x14ac:dyDescent="0.3">
      <c r="A40" t="s">
        <v>158</v>
      </c>
      <c r="B40" t="s">
        <v>122</v>
      </c>
      <c r="C40" t="s">
        <v>154</v>
      </c>
      <c r="D40" t="s">
        <v>128</v>
      </c>
      <c r="E40">
        <v>0.2</v>
      </c>
      <c r="F40">
        <v>0.9</v>
      </c>
      <c r="H40">
        <v>0.5</v>
      </c>
      <c r="I40">
        <v>0.25</v>
      </c>
      <c r="J40">
        <v>0.15</v>
      </c>
      <c r="N40">
        <v>38</v>
      </c>
      <c r="V40" s="10">
        <v>9.9085365853658541E-2</v>
      </c>
      <c r="W40" s="10">
        <f>Tabelle1[[#This Row],[WWR-total]]*4*WWR!$G$2</f>
        <v>4.5996430608280389E-2</v>
      </c>
      <c r="X40" s="10">
        <f>Tabelle1[[#This Row],[WWR-total]]*4*WWR!$H$2</f>
        <v>0.10934513010761951</v>
      </c>
      <c r="Y40" s="10">
        <f>Tabelle1[[#This Row],[WWR-total]]*4*WWR!$I$2</f>
        <v>0.13165477259111469</v>
      </c>
      <c r="Z40" s="10">
        <f>Tabelle1[[#This Row],[WWR-total]]*4*WWR!$J$2</f>
        <v>0.10934513010761951</v>
      </c>
      <c r="AA40" t="s">
        <v>135</v>
      </c>
      <c r="AB40">
        <v>1.5</v>
      </c>
    </row>
    <row r="41" spans="1:28" x14ac:dyDescent="0.3">
      <c r="A41" t="s">
        <v>159</v>
      </c>
      <c r="B41" t="s">
        <v>132</v>
      </c>
      <c r="C41" t="s">
        <v>154</v>
      </c>
      <c r="D41" t="s">
        <v>109</v>
      </c>
      <c r="E41">
        <v>1.2</v>
      </c>
      <c r="F41">
        <v>2.2400000000000002</v>
      </c>
      <c r="G41" t="s">
        <v>263</v>
      </c>
      <c r="H41">
        <v>0.65</v>
      </c>
      <c r="I41">
        <v>0.9</v>
      </c>
      <c r="J41">
        <v>1.05</v>
      </c>
      <c r="L41" t="s">
        <v>242</v>
      </c>
      <c r="M41" t="s">
        <v>234</v>
      </c>
      <c r="N41">
        <v>172</v>
      </c>
      <c r="O41">
        <v>268.5</v>
      </c>
      <c r="P41">
        <v>28.52</v>
      </c>
      <c r="Q41">
        <v>103.8</v>
      </c>
      <c r="R41" s="4" t="s">
        <v>266</v>
      </c>
      <c r="S41" s="5">
        <f>(Tabelle1[[#This Row],[AW]]+Tabelle1[[#This Row],[F]])/(SQRT(Tabelle1[[#This Row],[Dach/FB/KD]])*4)</f>
        <v>7.2883131732498994</v>
      </c>
      <c r="T41">
        <v>311</v>
      </c>
      <c r="U41" s="5">
        <f>(SUM(Tabelle1[[#This Row],[AW]:[F]])+2*Tabelle1[[#This Row],[Dach/FB/KD]])/(Tabelle1[[#This Row],[Dach/FB/KD]]*Tabelle1[[#This Row],[Höhe]])</f>
        <v>0.66702187995582307</v>
      </c>
      <c r="V41" s="20">
        <f>Tabelle1[[#This Row],[F]]/SUM(Tabelle1[[#This Row],[AW]:[F]])</f>
        <v>9.6020470002020075E-2</v>
      </c>
      <c r="W41" s="10">
        <f>Tabelle1[[#This Row],[WWR-total]]*4*WWR!$G$2</f>
        <v>4.4573674905185913E-2</v>
      </c>
      <c r="X41" s="10">
        <f>Tabelle1[[#This Row],[WWR-total]]*4*WWR!$H$2</f>
        <v>0.10596288054153652</v>
      </c>
      <c r="Y41" s="10">
        <f>Tabelle1[[#This Row],[WWR-total]]*4*WWR!$I$2</f>
        <v>0.1275824440198213</v>
      </c>
      <c r="Z41" s="10">
        <f>Tabelle1[[#This Row],[WWR-total]]*4*WWR!$J$2</f>
        <v>0.10596288054153652</v>
      </c>
      <c r="AA41" t="s">
        <v>133</v>
      </c>
      <c r="AB41">
        <v>4.5</v>
      </c>
    </row>
    <row r="42" spans="1:28" x14ac:dyDescent="0.3">
      <c r="A42" t="s">
        <v>160</v>
      </c>
      <c r="B42" t="s">
        <v>132</v>
      </c>
      <c r="C42" t="s">
        <v>154</v>
      </c>
      <c r="D42" t="s">
        <v>126</v>
      </c>
      <c r="E42">
        <v>0.35</v>
      </c>
      <c r="F42">
        <v>1.1000000000000001</v>
      </c>
      <c r="H42">
        <v>0.6</v>
      </c>
      <c r="I42">
        <v>0.4</v>
      </c>
      <c r="J42">
        <v>0.2</v>
      </c>
      <c r="N42">
        <v>53</v>
      </c>
      <c r="V42" s="10">
        <v>9.6020470002020075E-2</v>
      </c>
      <c r="W42" s="10">
        <f>Tabelle1[[#This Row],[WWR-total]]*4*WWR!$G$2</f>
        <v>4.4573674905185913E-2</v>
      </c>
      <c r="X42" s="10">
        <f>Tabelle1[[#This Row],[WWR-total]]*4*WWR!$H$2</f>
        <v>0.10596288054153652</v>
      </c>
      <c r="Y42" s="10">
        <f>Tabelle1[[#This Row],[WWR-total]]*4*WWR!$I$2</f>
        <v>0.1275824440198213</v>
      </c>
      <c r="Z42" s="10">
        <f>Tabelle1[[#This Row],[WWR-total]]*4*WWR!$J$2</f>
        <v>0.10596288054153652</v>
      </c>
      <c r="AA42" t="s">
        <v>133</v>
      </c>
      <c r="AB42">
        <v>3</v>
      </c>
    </row>
    <row r="43" spans="1:28" x14ac:dyDescent="0.3">
      <c r="A43" t="s">
        <v>161</v>
      </c>
      <c r="B43" t="s">
        <v>132</v>
      </c>
      <c r="C43" t="s">
        <v>154</v>
      </c>
      <c r="D43" t="s">
        <v>128</v>
      </c>
      <c r="E43">
        <v>0.25</v>
      </c>
      <c r="F43">
        <v>0.9</v>
      </c>
      <c r="H43">
        <v>0.5</v>
      </c>
      <c r="I43">
        <v>0.25</v>
      </c>
      <c r="J43">
        <v>0.2</v>
      </c>
      <c r="N43">
        <v>40</v>
      </c>
      <c r="V43" s="10">
        <v>9.6020470002020075E-2</v>
      </c>
      <c r="W43" s="10">
        <f>Tabelle1[[#This Row],[WWR-total]]*4*WWR!$G$2</f>
        <v>4.4573674905185913E-2</v>
      </c>
      <c r="X43" s="10">
        <f>Tabelle1[[#This Row],[WWR-total]]*4*WWR!$H$2</f>
        <v>0.10596288054153652</v>
      </c>
      <c r="Y43" s="10">
        <f>Tabelle1[[#This Row],[WWR-total]]*4*WWR!$I$2</f>
        <v>0.1275824440198213</v>
      </c>
      <c r="Z43" s="10">
        <f>Tabelle1[[#This Row],[WWR-total]]*4*WWR!$J$2</f>
        <v>0.10596288054153652</v>
      </c>
      <c r="AA43" t="s">
        <v>133</v>
      </c>
      <c r="AB43">
        <v>1.5</v>
      </c>
    </row>
    <row r="44" spans="1:28" x14ac:dyDescent="0.3">
      <c r="A44" t="s">
        <v>162</v>
      </c>
      <c r="B44" t="s">
        <v>102</v>
      </c>
      <c r="C44" t="s">
        <v>154</v>
      </c>
      <c r="D44" t="s">
        <v>109</v>
      </c>
      <c r="E44">
        <v>1.18</v>
      </c>
      <c r="F44">
        <v>1.99</v>
      </c>
      <c r="G44" t="s">
        <v>267</v>
      </c>
      <c r="H44">
        <v>0.65</v>
      </c>
      <c r="I44">
        <v>1.95</v>
      </c>
      <c r="J44">
        <v>1.35</v>
      </c>
      <c r="L44" t="s">
        <v>242</v>
      </c>
      <c r="M44" t="s">
        <v>234</v>
      </c>
      <c r="N44">
        <v>339</v>
      </c>
      <c r="O44">
        <v>218</v>
      </c>
      <c r="P44">
        <v>29.423999999999999</v>
      </c>
      <c r="Q44">
        <v>132</v>
      </c>
      <c r="R44" s="4" t="s">
        <v>268</v>
      </c>
      <c r="S44" s="5">
        <f>(Tabelle1[[#This Row],[AW]]+Tabelle1[[#This Row],[F]])/(SQRT(Tabelle1[[#This Row],[Dach/FB/KD]])*4)</f>
        <v>5.3838737433978228</v>
      </c>
      <c r="T44">
        <v>188</v>
      </c>
      <c r="U44" s="5">
        <f>(SUM(Tabelle1[[#This Row],[AW]:[F]])+2*Tabelle1[[#This Row],[Dach/FB/KD]])/(Tabelle1[[#This Row],[Dach/FB/KD]]*Tabelle1[[#This Row],[Höhe]])</f>
        <v>0.71963504849559301</v>
      </c>
      <c r="V44" s="20">
        <f>Tabelle1[[#This Row],[F]]/SUM(Tabelle1[[#This Row],[AW]:[F]])</f>
        <v>0.11892136575271597</v>
      </c>
      <c r="W44" s="10">
        <f>Tabelle1[[#This Row],[WWR-total]]*4*WWR!$G$2</f>
        <v>5.5204502708961475E-2</v>
      </c>
      <c r="X44" s="10">
        <f>Tabelle1[[#This Row],[WWR-total]]*4*WWR!$H$2</f>
        <v>0.1312350426198321</v>
      </c>
      <c r="Y44" s="10">
        <f>Tabelle1[[#This Row],[WWR-total]]*4*WWR!$I$2</f>
        <v>0.15801087506223815</v>
      </c>
      <c r="Z44" s="10">
        <f>Tabelle1[[#This Row],[WWR-total]]*4*WWR!$J$2</f>
        <v>0.1312350426198321</v>
      </c>
      <c r="AA44" t="s">
        <v>139</v>
      </c>
      <c r="AB44">
        <v>4.5</v>
      </c>
    </row>
    <row r="45" spans="1:28" x14ac:dyDescent="0.3">
      <c r="A45" t="s">
        <v>163</v>
      </c>
      <c r="B45" t="s">
        <v>102</v>
      </c>
      <c r="C45" t="s">
        <v>154</v>
      </c>
      <c r="D45" t="s">
        <v>126</v>
      </c>
      <c r="E45">
        <v>0.3</v>
      </c>
      <c r="F45">
        <v>1.1000000000000001</v>
      </c>
      <c r="H45">
        <v>0.6</v>
      </c>
      <c r="I45">
        <v>0.4</v>
      </c>
      <c r="J45">
        <v>0.15</v>
      </c>
      <c r="N45">
        <v>70</v>
      </c>
      <c r="V45" s="10">
        <v>0.11892136575271597</v>
      </c>
      <c r="W45" s="10">
        <f>Tabelle1[[#This Row],[WWR-total]]*4*WWR!$G$2</f>
        <v>5.5204502708961475E-2</v>
      </c>
      <c r="X45" s="10">
        <f>Tabelle1[[#This Row],[WWR-total]]*4*WWR!$H$2</f>
        <v>0.1312350426198321</v>
      </c>
      <c r="Y45" s="10">
        <f>Tabelle1[[#This Row],[WWR-total]]*4*WWR!$I$2</f>
        <v>0.15801087506223815</v>
      </c>
      <c r="Z45" s="10">
        <f>Tabelle1[[#This Row],[WWR-total]]*4*WWR!$J$2</f>
        <v>0.1312350426198321</v>
      </c>
      <c r="AA45" t="s">
        <v>139</v>
      </c>
      <c r="AB45">
        <v>3</v>
      </c>
    </row>
    <row r="46" spans="1:28" x14ac:dyDescent="0.3">
      <c r="A46" t="s">
        <v>164</v>
      </c>
      <c r="B46" t="s">
        <v>102</v>
      </c>
      <c r="C46" t="s">
        <v>154</v>
      </c>
      <c r="D46" t="s">
        <v>128</v>
      </c>
      <c r="E46">
        <v>0.2</v>
      </c>
      <c r="F46">
        <v>0.8</v>
      </c>
      <c r="H46">
        <v>0.5</v>
      </c>
      <c r="I46">
        <v>0.35</v>
      </c>
      <c r="J46">
        <v>0.1</v>
      </c>
      <c r="N46">
        <v>50</v>
      </c>
      <c r="V46" s="10">
        <v>0.11892136575271597</v>
      </c>
      <c r="W46" s="10">
        <f>Tabelle1[[#This Row],[WWR-total]]*4*WWR!$G$2</f>
        <v>5.5204502708961475E-2</v>
      </c>
      <c r="X46" s="10">
        <f>Tabelle1[[#This Row],[WWR-total]]*4*WWR!$H$2</f>
        <v>0.1312350426198321</v>
      </c>
      <c r="Y46" s="10">
        <f>Tabelle1[[#This Row],[WWR-total]]*4*WWR!$I$2</f>
        <v>0.15801087506223815</v>
      </c>
      <c r="Z46" s="10">
        <f>Tabelle1[[#This Row],[WWR-total]]*4*WWR!$J$2</f>
        <v>0.1312350426198321</v>
      </c>
      <c r="AA46" t="s">
        <v>177</v>
      </c>
      <c r="AB46">
        <v>1.5</v>
      </c>
    </row>
    <row r="47" spans="1:28" x14ac:dyDescent="0.3">
      <c r="A47" t="s">
        <v>165</v>
      </c>
      <c r="B47" t="s">
        <v>103</v>
      </c>
      <c r="C47" t="s">
        <v>154</v>
      </c>
      <c r="D47" t="s">
        <v>109</v>
      </c>
      <c r="E47">
        <v>1.4</v>
      </c>
      <c r="F47">
        <v>2.2799999999999998</v>
      </c>
      <c r="G47" t="s">
        <v>269</v>
      </c>
      <c r="H47">
        <v>0.65</v>
      </c>
      <c r="I47">
        <v>1.5</v>
      </c>
      <c r="J47">
        <v>1.5</v>
      </c>
      <c r="L47" t="s">
        <v>270</v>
      </c>
      <c r="M47" t="s">
        <v>271</v>
      </c>
      <c r="N47">
        <v>157</v>
      </c>
      <c r="O47">
        <v>210.8</v>
      </c>
      <c r="P47">
        <v>20.420000000000002</v>
      </c>
      <c r="Q47">
        <v>52.5</v>
      </c>
      <c r="R47" s="4" t="s">
        <v>272</v>
      </c>
      <c r="S47" s="5">
        <f>(Tabelle1[[#This Row],[AW]]+Tabelle1[[#This Row],[F]])/(SQRT(Tabelle1[[#This Row],[Dach/FB/KD]])*4)</f>
        <v>7.9778479315569584</v>
      </c>
      <c r="T47">
        <v>148</v>
      </c>
      <c r="U47" s="5">
        <f>(SUM(Tabelle1[[#This Row],[AW]:[F]])+2*Tabelle1[[#This Row],[Dach/FB/KD]])/(Tabelle1[[#This Row],[Dach/FB/KD]]*Tabelle1[[#This Row],[Höhe]])</f>
        <v>0.80274662178734135</v>
      </c>
      <c r="V47" s="20">
        <f>Tabelle1[[#This Row],[F]]/SUM(Tabelle1[[#This Row],[AW]:[F]])</f>
        <v>8.8314159674768619E-2</v>
      </c>
      <c r="W47" s="10">
        <f>Tabelle1[[#This Row],[WWR-total]]*4*WWR!$G$2</f>
        <v>4.0996327582910184E-2</v>
      </c>
      <c r="X47" s="10">
        <f>Tabelle1[[#This Row],[WWR-total]]*4*WWR!$H$2</f>
        <v>9.7458622641055759E-2</v>
      </c>
      <c r="Y47" s="10">
        <f>Tabelle1[[#This Row],[WWR-total]]*4*WWR!$I$2</f>
        <v>0.11734306583405273</v>
      </c>
      <c r="Z47" s="10">
        <f>Tabelle1[[#This Row],[WWR-total]]*4*WWR!$J$2</f>
        <v>9.7458622641055759E-2</v>
      </c>
      <c r="AA47" t="s">
        <v>139</v>
      </c>
      <c r="AB47">
        <v>4.5</v>
      </c>
    </row>
    <row r="48" spans="1:28" x14ac:dyDescent="0.3">
      <c r="A48" t="s">
        <v>166</v>
      </c>
      <c r="B48" t="s">
        <v>103</v>
      </c>
      <c r="C48" t="s">
        <v>154</v>
      </c>
      <c r="D48" t="s">
        <v>126</v>
      </c>
      <c r="E48">
        <v>0.35</v>
      </c>
      <c r="F48">
        <v>1.1000000000000001</v>
      </c>
      <c r="H48">
        <v>0.6</v>
      </c>
      <c r="I48">
        <v>0.4</v>
      </c>
      <c r="J48">
        <v>0.2</v>
      </c>
      <c r="N48">
        <v>37</v>
      </c>
      <c r="V48" s="10">
        <v>8.8314159674768619E-2</v>
      </c>
      <c r="W48" s="10">
        <f>Tabelle1[[#This Row],[WWR-total]]*4*WWR!$G$2</f>
        <v>4.0996327582910184E-2</v>
      </c>
      <c r="X48" s="10">
        <f>Tabelle1[[#This Row],[WWR-total]]*4*WWR!$H$2</f>
        <v>9.7458622641055759E-2</v>
      </c>
      <c r="Y48" s="10">
        <f>Tabelle1[[#This Row],[WWR-total]]*4*WWR!$I$2</f>
        <v>0.11734306583405273</v>
      </c>
      <c r="Z48" s="10">
        <f>Tabelle1[[#This Row],[WWR-total]]*4*WWR!$J$2</f>
        <v>9.7458622641055759E-2</v>
      </c>
      <c r="AA48" t="s">
        <v>139</v>
      </c>
      <c r="AB48">
        <v>3</v>
      </c>
    </row>
    <row r="49" spans="1:28" x14ac:dyDescent="0.3">
      <c r="A49" t="s">
        <v>167</v>
      </c>
      <c r="B49" t="s">
        <v>103</v>
      </c>
      <c r="C49" t="s">
        <v>154</v>
      </c>
      <c r="D49" t="s">
        <v>128</v>
      </c>
      <c r="E49">
        <v>0.35</v>
      </c>
      <c r="F49">
        <v>0.9</v>
      </c>
      <c r="H49">
        <v>0.5</v>
      </c>
      <c r="I49">
        <v>0.4</v>
      </c>
      <c r="J49">
        <v>0.2</v>
      </c>
      <c r="N49">
        <v>34</v>
      </c>
      <c r="V49" s="10">
        <v>8.8314159674768619E-2</v>
      </c>
      <c r="W49" s="10">
        <f>Tabelle1[[#This Row],[WWR-total]]*4*WWR!$G$2</f>
        <v>4.0996327582910184E-2</v>
      </c>
      <c r="X49" s="10">
        <f>Tabelle1[[#This Row],[WWR-total]]*4*WWR!$H$2</f>
        <v>9.7458622641055759E-2</v>
      </c>
      <c r="Y49" s="10">
        <f>Tabelle1[[#This Row],[WWR-total]]*4*WWR!$I$2</f>
        <v>0.11734306583405273</v>
      </c>
      <c r="Z49" s="10">
        <f>Tabelle1[[#This Row],[WWR-total]]*4*WWR!$J$2</f>
        <v>9.7458622641055759E-2</v>
      </c>
      <c r="AA49" t="s">
        <v>177</v>
      </c>
      <c r="AB49">
        <v>1.5</v>
      </c>
    </row>
    <row r="50" spans="1:28" x14ac:dyDescent="0.3">
      <c r="A50" t="s">
        <v>168</v>
      </c>
      <c r="B50" t="s">
        <v>104</v>
      </c>
      <c r="C50" t="s">
        <v>154</v>
      </c>
      <c r="D50" t="s">
        <v>109</v>
      </c>
      <c r="E50">
        <v>0.8</v>
      </c>
      <c r="F50">
        <v>2.1</v>
      </c>
      <c r="G50" t="s">
        <v>273</v>
      </c>
      <c r="H50">
        <v>0.65</v>
      </c>
      <c r="I50">
        <v>0.62</v>
      </c>
      <c r="J50">
        <v>1.18</v>
      </c>
      <c r="L50" t="s">
        <v>270</v>
      </c>
      <c r="M50" t="s">
        <v>243</v>
      </c>
      <c r="N50">
        <v>191</v>
      </c>
      <c r="O50">
        <v>237.7</v>
      </c>
      <c r="P50">
        <v>37.67</v>
      </c>
      <c r="Q50">
        <v>84</v>
      </c>
      <c r="R50" s="4" t="s">
        <v>274</v>
      </c>
      <c r="S50" s="5">
        <f>(Tabelle1[[#This Row],[AW]]+Tabelle1[[#This Row],[F]])/(SQRT(Tabelle1[[#This Row],[Dach/FB/KD]])*4)</f>
        <v>7.5113325542856533</v>
      </c>
      <c r="T50">
        <v>188</v>
      </c>
      <c r="U50" s="5">
        <f>(SUM(Tabelle1[[#This Row],[AW]:[F]])+2*Tabelle1[[#This Row],[Dach/FB/KD]])/(Tabelle1[[#This Row],[Dach/FB/KD]]*Tabelle1[[#This Row],[Höhe]])</f>
        <v>0.70270011979469027</v>
      </c>
      <c r="V50" s="20">
        <f>Tabelle1[[#This Row],[F]]/SUM(Tabelle1[[#This Row],[AW]:[F]])</f>
        <v>0.13679776300976867</v>
      </c>
      <c r="W50" s="10">
        <f>Tabelle1[[#This Row],[WWR-total]]*4*WWR!$G$2</f>
        <v>6.3502907411573953E-2</v>
      </c>
      <c r="X50" s="10">
        <f>Tabelle1[[#This Row],[WWR-total]]*4*WWR!$H$2</f>
        <v>0.15096244602685849</v>
      </c>
      <c r="Y50" s="10">
        <f>Tabelle1[[#This Row],[WWR-total]]*4*WWR!$I$2</f>
        <v>0.18176325257378367</v>
      </c>
      <c r="Z50" s="10">
        <f>Tabelle1[[#This Row],[WWR-total]]*4*WWR!$J$2</f>
        <v>0.15096244602685849</v>
      </c>
      <c r="AA50" t="s">
        <v>139</v>
      </c>
      <c r="AB50">
        <v>4.5</v>
      </c>
    </row>
    <row r="51" spans="1:28" x14ac:dyDescent="0.3">
      <c r="A51" t="s">
        <v>169</v>
      </c>
      <c r="B51" t="s">
        <v>104</v>
      </c>
      <c r="C51" t="s">
        <v>154</v>
      </c>
      <c r="D51" t="s">
        <v>126</v>
      </c>
      <c r="E51">
        <v>0.3</v>
      </c>
      <c r="F51">
        <v>1.1000000000000001</v>
      </c>
      <c r="H51">
        <v>0.6</v>
      </c>
      <c r="I51">
        <v>0.4</v>
      </c>
      <c r="J51">
        <v>0.2</v>
      </c>
      <c r="N51">
        <v>66</v>
      </c>
      <c r="V51" s="10">
        <v>0.13679776300976867</v>
      </c>
      <c r="W51" s="10">
        <f>Tabelle1[[#This Row],[WWR-total]]*4*WWR!$G$2</f>
        <v>6.3502907411573953E-2</v>
      </c>
      <c r="X51" s="10">
        <f>Tabelle1[[#This Row],[WWR-total]]*4*WWR!$H$2</f>
        <v>0.15096244602685849</v>
      </c>
      <c r="Y51" s="10">
        <f>Tabelle1[[#This Row],[WWR-total]]*4*WWR!$I$2</f>
        <v>0.18176325257378367</v>
      </c>
      <c r="Z51" s="10">
        <f>Tabelle1[[#This Row],[WWR-total]]*4*WWR!$J$2</f>
        <v>0.15096244602685849</v>
      </c>
      <c r="AA51" t="s">
        <v>139</v>
      </c>
      <c r="AB51">
        <v>3</v>
      </c>
    </row>
    <row r="52" spans="1:28" x14ac:dyDescent="0.3">
      <c r="A52" t="s">
        <v>170</v>
      </c>
      <c r="B52" t="s">
        <v>104</v>
      </c>
      <c r="C52" t="s">
        <v>154</v>
      </c>
      <c r="D52" t="s">
        <v>128</v>
      </c>
      <c r="E52">
        <v>0.2</v>
      </c>
      <c r="F52">
        <v>0.9</v>
      </c>
      <c r="H52">
        <v>0.5</v>
      </c>
      <c r="I52">
        <v>0.37</v>
      </c>
      <c r="J52">
        <v>0.15</v>
      </c>
      <c r="N52">
        <v>48</v>
      </c>
      <c r="V52" s="10">
        <v>0.13679776300976867</v>
      </c>
      <c r="W52" s="10">
        <f>Tabelle1[[#This Row],[WWR-total]]*4*WWR!$G$2</f>
        <v>6.3502907411573953E-2</v>
      </c>
      <c r="X52" s="10">
        <f>Tabelle1[[#This Row],[WWR-total]]*4*WWR!$H$2</f>
        <v>0.15096244602685849</v>
      </c>
      <c r="Y52" s="10">
        <f>Tabelle1[[#This Row],[WWR-total]]*4*WWR!$I$2</f>
        <v>0.18176325257378367</v>
      </c>
      <c r="Z52" s="10">
        <f>Tabelle1[[#This Row],[WWR-total]]*4*WWR!$J$2</f>
        <v>0.15096244602685849</v>
      </c>
      <c r="AA52" t="s">
        <v>177</v>
      </c>
      <c r="AB52">
        <v>1.5</v>
      </c>
    </row>
    <row r="53" spans="1:28" x14ac:dyDescent="0.3">
      <c r="A53" t="s">
        <v>171</v>
      </c>
      <c r="B53" t="s">
        <v>105</v>
      </c>
      <c r="C53" t="s">
        <v>154</v>
      </c>
      <c r="D53" t="s">
        <v>109</v>
      </c>
      <c r="E53">
        <v>0.49</v>
      </c>
      <c r="F53">
        <v>1.38</v>
      </c>
      <c r="G53" t="s">
        <v>275</v>
      </c>
      <c r="H53">
        <v>0.65</v>
      </c>
      <c r="I53">
        <v>0.4</v>
      </c>
      <c r="J53">
        <v>0.25</v>
      </c>
      <c r="L53" t="s">
        <v>276</v>
      </c>
      <c r="M53" t="s">
        <v>243</v>
      </c>
      <c r="N53">
        <v>94</v>
      </c>
      <c r="O53">
        <v>139.6</v>
      </c>
      <c r="P53">
        <v>12.84</v>
      </c>
      <c r="Q53">
        <v>70.900000000000006</v>
      </c>
      <c r="R53" s="4" t="s">
        <v>277</v>
      </c>
      <c r="S53" s="5">
        <f>(Tabelle1[[#This Row],[AW]]+Tabelle1[[#This Row],[F]])/(SQRT(Tabelle1[[#This Row],[Dach/FB/KD]])*4)</f>
        <v>4.5260133558174651</v>
      </c>
      <c r="T53">
        <v>142</v>
      </c>
      <c r="U53" s="5">
        <f>(SUM(Tabelle1[[#This Row],[AW]:[F]])+2*Tabelle1[[#This Row],[Dach/FB/KD]])/(Tabelle1[[#This Row],[Dach/FB/KD]]*Tabelle1[[#This Row],[Höhe]])</f>
        <v>0.91693731228776121</v>
      </c>
      <c r="V53" s="20">
        <f>Tabelle1[[#This Row],[F]]/SUM(Tabelle1[[#This Row],[AW]:[F]])</f>
        <v>8.4229860928890052E-2</v>
      </c>
      <c r="W53" s="10">
        <f>Tabelle1[[#This Row],[WWR-total]]*4*WWR!$G$2</f>
        <v>3.910035472930283E-2</v>
      </c>
      <c r="X53" s="10">
        <f>Tabelle1[[#This Row],[WWR-total]]*4*WWR!$H$2</f>
        <v>9.2951416416212518E-2</v>
      </c>
      <c r="Y53" s="10">
        <f>Tabelle1[[#This Row],[WWR-total]]*4*WWR!$I$2</f>
        <v>0.1119162561538323</v>
      </c>
      <c r="Z53" s="10">
        <f>Tabelle1[[#This Row],[WWR-total]]*4*WWR!$J$2</f>
        <v>9.2951416416212518E-2</v>
      </c>
      <c r="AA53" t="s">
        <v>139</v>
      </c>
      <c r="AB53">
        <v>3</v>
      </c>
    </row>
    <row r="54" spans="1:28" x14ac:dyDescent="0.3">
      <c r="A54" t="s">
        <v>172</v>
      </c>
      <c r="B54" t="s">
        <v>105</v>
      </c>
      <c r="C54" t="s">
        <v>154</v>
      </c>
      <c r="D54" t="s">
        <v>126</v>
      </c>
      <c r="E54">
        <v>0.35</v>
      </c>
      <c r="F54">
        <v>1.1000000000000001</v>
      </c>
      <c r="H54">
        <v>0.6</v>
      </c>
      <c r="I54">
        <v>0.4</v>
      </c>
      <c r="J54">
        <v>0.25</v>
      </c>
      <c r="N54">
        <v>70</v>
      </c>
      <c r="V54" s="10">
        <v>8.4229860928890052E-2</v>
      </c>
      <c r="W54" s="10">
        <f>Tabelle1[[#This Row],[WWR-total]]*4*WWR!$G$2</f>
        <v>3.910035472930283E-2</v>
      </c>
      <c r="X54" s="10">
        <f>Tabelle1[[#This Row],[WWR-total]]*4*WWR!$H$2</f>
        <v>9.2951416416212518E-2</v>
      </c>
      <c r="Y54" s="10">
        <f>Tabelle1[[#This Row],[WWR-total]]*4*WWR!$I$2</f>
        <v>0.1119162561538323</v>
      </c>
      <c r="Z54" s="10">
        <f>Tabelle1[[#This Row],[WWR-total]]*4*WWR!$J$2</f>
        <v>9.2951416416212518E-2</v>
      </c>
      <c r="AA54" t="s">
        <v>139</v>
      </c>
      <c r="AB54">
        <v>3</v>
      </c>
    </row>
    <row r="55" spans="1:28" x14ac:dyDescent="0.3">
      <c r="A55" t="s">
        <v>173</v>
      </c>
      <c r="B55" t="s">
        <v>105</v>
      </c>
      <c r="C55" t="s">
        <v>154</v>
      </c>
      <c r="D55" t="s">
        <v>128</v>
      </c>
      <c r="E55">
        <v>0.2</v>
      </c>
      <c r="F55">
        <v>0.8</v>
      </c>
      <c r="H55">
        <v>0.5</v>
      </c>
      <c r="I55">
        <v>0.3</v>
      </c>
      <c r="J55">
        <v>0.15</v>
      </c>
      <c r="N55">
        <v>48</v>
      </c>
      <c r="V55" s="10">
        <v>8.4229860928890052E-2</v>
      </c>
      <c r="W55" s="10">
        <f>Tabelle1[[#This Row],[WWR-total]]*4*WWR!$G$2</f>
        <v>3.910035472930283E-2</v>
      </c>
      <c r="X55" s="10">
        <f>Tabelle1[[#This Row],[WWR-total]]*4*WWR!$H$2</f>
        <v>9.2951416416212518E-2</v>
      </c>
      <c r="Y55" s="10">
        <f>Tabelle1[[#This Row],[WWR-total]]*4*WWR!$I$2</f>
        <v>0.1119162561538323</v>
      </c>
      <c r="Z55" s="10">
        <f>Tabelle1[[#This Row],[WWR-total]]*4*WWR!$J$2</f>
        <v>9.2951416416212518E-2</v>
      </c>
      <c r="AA55" t="s">
        <v>177</v>
      </c>
      <c r="AB55">
        <v>1.5</v>
      </c>
    </row>
    <row r="56" spans="1:28" x14ac:dyDescent="0.3">
      <c r="A56" t="s">
        <v>174</v>
      </c>
      <c r="B56" t="s">
        <v>150</v>
      </c>
      <c r="C56" t="s">
        <v>154</v>
      </c>
      <c r="D56" t="s">
        <v>109</v>
      </c>
      <c r="E56">
        <v>0.2</v>
      </c>
      <c r="F56">
        <v>1.2</v>
      </c>
      <c r="G56" t="s">
        <v>275</v>
      </c>
      <c r="H56">
        <v>0.6</v>
      </c>
      <c r="I56">
        <v>0.32</v>
      </c>
      <c r="J56">
        <v>0.17</v>
      </c>
      <c r="K56" t="s">
        <v>178</v>
      </c>
      <c r="L56" t="s">
        <v>264</v>
      </c>
      <c r="M56" t="s">
        <v>278</v>
      </c>
      <c r="N56">
        <v>46</v>
      </c>
      <c r="O56">
        <v>149.30000000000001</v>
      </c>
      <c r="P56">
        <v>25.71</v>
      </c>
      <c r="Q56">
        <v>60.4</v>
      </c>
      <c r="R56" s="4" t="s">
        <v>279</v>
      </c>
      <c r="S56" s="5">
        <f>(Tabelle1[[#This Row],[AW]]+Tabelle1[[#This Row],[F]])/(SQRT(Tabelle1[[#This Row],[Dach/FB/KD]])*4)</f>
        <v>5.6296890040467398</v>
      </c>
      <c r="T56">
        <v>181</v>
      </c>
      <c r="U56" s="5">
        <f>(SUM(Tabelle1[[#This Row],[AW]:[F]])+2*Tabelle1[[#This Row],[Dach/FB/KD]])/(Tabelle1[[#This Row],[Dach/FB/KD]]*Tabelle1[[#This Row],[Höhe]])</f>
        <v>0.86994442370989811</v>
      </c>
      <c r="V56" s="20">
        <f>Tabelle1[[#This Row],[F]]/SUM(Tabelle1[[#This Row],[AW]:[F]])</f>
        <v>0.14690589109193758</v>
      </c>
      <c r="W56" s="10">
        <f>Tabelle1[[#This Row],[WWR-total]]*4*WWR!$G$2</f>
        <v>6.8195202867168986E-2</v>
      </c>
      <c r="X56" s="10">
        <f>Tabelle1[[#This Row],[WWR-total]]*4*WWR!$H$2</f>
        <v>0.16211721717562375</v>
      </c>
      <c r="Y56" s="10">
        <f>Tabelle1[[#This Row],[WWR-total]]*4*WWR!$I$2</f>
        <v>0.19519392714933373</v>
      </c>
      <c r="Z56" s="10">
        <f>Tabelle1[[#This Row],[WWR-total]]*4*WWR!$J$2</f>
        <v>0.16211721717562375</v>
      </c>
      <c r="AA56" t="s">
        <v>133</v>
      </c>
      <c r="AB56">
        <v>3</v>
      </c>
    </row>
    <row r="57" spans="1:28" x14ac:dyDescent="0.3">
      <c r="A57" t="s">
        <v>175</v>
      </c>
      <c r="B57" t="s">
        <v>152</v>
      </c>
      <c r="C57" t="s">
        <v>154</v>
      </c>
      <c r="D57" t="s">
        <v>109</v>
      </c>
      <c r="E57">
        <v>0.12</v>
      </c>
      <c r="F57">
        <v>0.7</v>
      </c>
      <c r="G57" t="s">
        <v>260</v>
      </c>
      <c r="H57">
        <v>0.5</v>
      </c>
      <c r="I57">
        <v>0.1</v>
      </c>
      <c r="J57">
        <v>0.08</v>
      </c>
      <c r="L57" t="s">
        <v>280</v>
      </c>
      <c r="M57" t="s">
        <v>262</v>
      </c>
      <c r="N57">
        <v>22</v>
      </c>
      <c r="O57">
        <v>149.30000000000001</v>
      </c>
      <c r="P57">
        <v>25.71</v>
      </c>
      <c r="Q57">
        <v>60.4</v>
      </c>
      <c r="R57" s="4" t="s">
        <v>279</v>
      </c>
      <c r="S57" s="5">
        <f>(Tabelle1[[#This Row],[AW]]+Tabelle1[[#This Row],[F]])/(SQRT(Tabelle1[[#This Row],[Dach/FB/KD]])*4)</f>
        <v>5.6296890040467398</v>
      </c>
      <c r="T57">
        <v>181</v>
      </c>
      <c r="U57" s="5">
        <f>(SUM(Tabelle1[[#This Row],[AW]:[F]])+2*Tabelle1[[#This Row],[Dach/FB/KD]])/(Tabelle1[[#This Row],[Dach/FB/KD]]*Tabelle1[[#This Row],[Höhe]])</f>
        <v>0.86994442370989811</v>
      </c>
      <c r="V57" s="20">
        <f>Tabelle1[[#This Row],[F]]/SUM(Tabelle1[[#This Row],[AW]:[F]])</f>
        <v>0.14690589109193758</v>
      </c>
      <c r="W57" s="10">
        <f>Tabelle1[[#This Row],[WWR-total]]*4*WWR!$G$2</f>
        <v>6.8195202867168986E-2</v>
      </c>
      <c r="X57" s="10">
        <f>Tabelle1[[#This Row],[WWR-total]]*4*WWR!$H$2</f>
        <v>0.16211721717562375</v>
      </c>
      <c r="Y57" s="10">
        <f>Tabelle1[[#This Row],[WWR-total]]*4*WWR!$I$2</f>
        <v>0.19519392714933373</v>
      </c>
      <c r="Z57" s="10">
        <f>Tabelle1[[#This Row],[WWR-total]]*4*WWR!$J$2</f>
        <v>0.16211721717562375</v>
      </c>
      <c r="AA57" t="s">
        <v>177</v>
      </c>
      <c r="AB57">
        <v>1.5</v>
      </c>
    </row>
    <row r="58" spans="1:28" hidden="1" x14ac:dyDescent="0.3">
      <c r="B58" t="s">
        <v>100</v>
      </c>
      <c r="C58" t="s">
        <v>179</v>
      </c>
      <c r="D58" t="s">
        <v>109</v>
      </c>
      <c r="E58">
        <v>1.4</v>
      </c>
      <c r="F58">
        <v>2.2000000000000002</v>
      </c>
      <c r="I58">
        <v>1.2</v>
      </c>
      <c r="J58">
        <v>1.1000000000000001</v>
      </c>
      <c r="N58" t="s">
        <v>200</v>
      </c>
      <c r="V58" s="10"/>
      <c r="W58" s="10">
        <f>Tabelle1[[#This Row],[WWR-total]]*4*WWR!$G$2</f>
        <v>0</v>
      </c>
      <c r="X58" s="10">
        <f>Tabelle1[[#This Row],[WWR-total]]*4*WWR!$H$2</f>
        <v>0</v>
      </c>
      <c r="Y58" s="10">
        <f>Tabelle1[[#This Row],[WWR-total]]*4*WWR!$I$2</f>
        <v>0</v>
      </c>
      <c r="Z58" s="10">
        <f>Tabelle1[[#This Row],[WWR-total]]*4*WWR!$J$2</f>
        <v>0</v>
      </c>
    </row>
    <row r="59" spans="1:28" hidden="1" x14ac:dyDescent="0.3">
      <c r="B59" t="s">
        <v>101</v>
      </c>
      <c r="C59" t="s">
        <v>179</v>
      </c>
      <c r="D59" t="s">
        <v>109</v>
      </c>
      <c r="E59">
        <v>1.4</v>
      </c>
      <c r="F59">
        <v>2.2999999999999998</v>
      </c>
      <c r="I59">
        <v>1.2</v>
      </c>
      <c r="J59">
        <v>0.8</v>
      </c>
      <c r="N59" t="s">
        <v>201</v>
      </c>
      <c r="V59" s="10"/>
      <c r="W59" s="10">
        <f>Tabelle1[[#This Row],[WWR-total]]*4*WWR!$G$2</f>
        <v>0</v>
      </c>
      <c r="X59" s="10">
        <f>Tabelle1[[#This Row],[WWR-total]]*4*WWR!$H$2</f>
        <v>0</v>
      </c>
      <c r="Y59" s="10">
        <f>Tabelle1[[#This Row],[WWR-total]]*4*WWR!$I$2</f>
        <v>0</v>
      </c>
      <c r="Z59" s="10">
        <f>Tabelle1[[#This Row],[WWR-total]]*4*WWR!$J$2</f>
        <v>0</v>
      </c>
    </row>
    <row r="60" spans="1:28" hidden="1" x14ac:dyDescent="0.3">
      <c r="B60" t="s">
        <v>102</v>
      </c>
      <c r="C60" t="s">
        <v>179</v>
      </c>
      <c r="D60" t="s">
        <v>109</v>
      </c>
      <c r="E60">
        <v>1.3</v>
      </c>
      <c r="F60">
        <v>2.2999999999999998</v>
      </c>
      <c r="I60">
        <v>1.2</v>
      </c>
      <c r="J60">
        <v>0.8</v>
      </c>
      <c r="N60" t="s">
        <v>202</v>
      </c>
      <c r="V60" s="10"/>
      <c r="W60" s="10">
        <f>Tabelle1[[#This Row],[WWR-total]]*4*WWR!$G$2</f>
        <v>0</v>
      </c>
      <c r="X60" s="10">
        <f>Tabelle1[[#This Row],[WWR-total]]*4*WWR!$H$2</f>
        <v>0</v>
      </c>
      <c r="Y60" s="10">
        <f>Tabelle1[[#This Row],[WWR-total]]*4*WWR!$I$2</f>
        <v>0</v>
      </c>
      <c r="Z60" s="10">
        <f>Tabelle1[[#This Row],[WWR-total]]*4*WWR!$J$2</f>
        <v>0</v>
      </c>
    </row>
    <row r="61" spans="1:28" hidden="1" x14ac:dyDescent="0.3">
      <c r="B61" t="s">
        <v>103</v>
      </c>
      <c r="C61" t="s">
        <v>179</v>
      </c>
      <c r="D61" t="s">
        <v>109</v>
      </c>
      <c r="E61">
        <v>1.1000000000000001</v>
      </c>
      <c r="F61">
        <v>2.7</v>
      </c>
      <c r="I61">
        <v>0.8</v>
      </c>
      <c r="J61">
        <v>0.7</v>
      </c>
      <c r="N61" t="s">
        <v>203</v>
      </c>
      <c r="V61" s="10"/>
      <c r="W61" s="10">
        <f>Tabelle1[[#This Row],[WWR-total]]*4*WWR!$G$2</f>
        <v>0</v>
      </c>
      <c r="X61" s="10">
        <f>Tabelle1[[#This Row],[WWR-total]]*4*WWR!$H$2</f>
        <v>0</v>
      </c>
      <c r="Y61" s="10">
        <f>Tabelle1[[#This Row],[WWR-total]]*4*WWR!$I$2</f>
        <v>0</v>
      </c>
      <c r="Z61" s="10">
        <f>Tabelle1[[#This Row],[WWR-total]]*4*WWR!$J$2</f>
        <v>0</v>
      </c>
    </row>
    <row r="62" spans="1:28" hidden="1" x14ac:dyDescent="0.3">
      <c r="B62" t="s">
        <v>104</v>
      </c>
      <c r="C62" t="s">
        <v>179</v>
      </c>
      <c r="D62" t="s">
        <v>109</v>
      </c>
      <c r="E62">
        <v>0.6</v>
      </c>
      <c r="F62">
        <v>2.5</v>
      </c>
      <c r="I62">
        <v>0.5</v>
      </c>
      <c r="J62">
        <v>0.5</v>
      </c>
      <c r="N62" t="s">
        <v>204</v>
      </c>
      <c r="V62" s="10"/>
      <c r="W62" s="10">
        <f>Tabelle1[[#This Row],[WWR-total]]*4*WWR!$G$2</f>
        <v>0</v>
      </c>
      <c r="X62" s="10">
        <f>Tabelle1[[#This Row],[WWR-total]]*4*WWR!$H$2</f>
        <v>0</v>
      </c>
      <c r="Y62" s="10">
        <f>Tabelle1[[#This Row],[WWR-total]]*4*WWR!$I$2</f>
        <v>0</v>
      </c>
      <c r="Z62" s="10">
        <f>Tabelle1[[#This Row],[WWR-total]]*4*WWR!$J$2</f>
        <v>0</v>
      </c>
    </row>
    <row r="63" spans="1:28" hidden="1" x14ac:dyDescent="0.3">
      <c r="B63" t="s">
        <v>105</v>
      </c>
      <c r="C63" t="s">
        <v>179</v>
      </c>
      <c r="D63" t="s">
        <v>109</v>
      </c>
      <c r="E63">
        <v>0.4</v>
      </c>
      <c r="F63">
        <v>1.8</v>
      </c>
      <c r="I63">
        <v>0.5</v>
      </c>
      <c r="J63">
        <v>0.3</v>
      </c>
      <c r="N63" t="s">
        <v>205</v>
      </c>
      <c r="V63" s="10"/>
      <c r="W63" s="10">
        <f>Tabelle1[[#This Row],[WWR-total]]*4*WWR!$G$2</f>
        <v>0</v>
      </c>
      <c r="X63" s="10">
        <f>Tabelle1[[#This Row],[WWR-total]]*4*WWR!$H$2</f>
        <v>0</v>
      </c>
      <c r="Y63" s="10">
        <f>Tabelle1[[#This Row],[WWR-total]]*4*WWR!$I$2</f>
        <v>0</v>
      </c>
      <c r="Z63" s="10">
        <f>Tabelle1[[#This Row],[WWR-total]]*4*WWR!$J$2</f>
        <v>0</v>
      </c>
    </row>
    <row r="64" spans="1:28" hidden="1" x14ac:dyDescent="0.3">
      <c r="B64" t="s">
        <v>155</v>
      </c>
      <c r="C64" t="s">
        <v>179</v>
      </c>
      <c r="D64" t="s">
        <v>109</v>
      </c>
      <c r="E64">
        <v>0.35</v>
      </c>
      <c r="F64">
        <v>1.4</v>
      </c>
      <c r="I64">
        <v>0.4</v>
      </c>
      <c r="J64">
        <v>0.2</v>
      </c>
      <c r="N64" s="3" t="s">
        <v>206</v>
      </c>
      <c r="O64" s="3"/>
      <c r="P64" s="3"/>
      <c r="Q64" s="3"/>
      <c r="R64" s="3"/>
      <c r="S64" s="3"/>
      <c r="T64" s="3"/>
      <c r="U64" s="3"/>
      <c r="V64" s="10"/>
      <c r="W64" s="10">
        <f>Tabelle1[[#This Row],[WWR-total]]*4*WWR!$G$2</f>
        <v>0</v>
      </c>
      <c r="X64" s="10">
        <f>Tabelle1[[#This Row],[WWR-total]]*4*WWR!$H$2</f>
        <v>0</v>
      </c>
      <c r="Y64" s="10">
        <f>Tabelle1[[#This Row],[WWR-total]]*4*WWR!$I$2</f>
        <v>0</v>
      </c>
      <c r="Z64" s="10">
        <f>Tabelle1[[#This Row],[WWR-total]]*4*WWR!$J$2</f>
        <v>0</v>
      </c>
    </row>
    <row r="65" spans="1:28" hidden="1" x14ac:dyDescent="0.3">
      <c r="B65" t="s">
        <v>107</v>
      </c>
      <c r="C65" t="s">
        <v>179</v>
      </c>
      <c r="D65" t="s">
        <v>109</v>
      </c>
      <c r="E65">
        <v>0.1</v>
      </c>
      <c r="F65">
        <v>0.6</v>
      </c>
      <c r="I65">
        <v>0.25</v>
      </c>
      <c r="J65">
        <v>0.1</v>
      </c>
      <c r="N65" s="3" t="s">
        <v>120</v>
      </c>
      <c r="O65" s="3"/>
      <c r="P65" s="3"/>
      <c r="Q65" s="3"/>
      <c r="R65" s="3"/>
      <c r="S65" s="3"/>
      <c r="T65" s="3"/>
      <c r="U65" s="3"/>
      <c r="V65" s="10"/>
      <c r="W65" s="10">
        <f>Tabelle1[[#This Row],[WWR-total]]*4*WWR!$G$2</f>
        <v>0</v>
      </c>
      <c r="X65" s="10">
        <f>Tabelle1[[#This Row],[WWR-total]]*4*WWR!$H$2</f>
        <v>0</v>
      </c>
      <c r="Y65" s="10">
        <f>Tabelle1[[#This Row],[WWR-total]]*4*WWR!$I$2</f>
        <v>0</v>
      </c>
      <c r="Z65" s="10">
        <f>Tabelle1[[#This Row],[WWR-total]]*4*WWR!$J$2</f>
        <v>0</v>
      </c>
    </row>
    <row r="66" spans="1:28" x14ac:dyDescent="0.3">
      <c r="A66" t="s">
        <v>180</v>
      </c>
      <c r="B66" t="s">
        <v>122</v>
      </c>
      <c r="C66" t="s">
        <v>179</v>
      </c>
      <c r="D66" t="s">
        <v>109</v>
      </c>
      <c r="E66">
        <v>1.4</v>
      </c>
      <c r="F66">
        <v>1.68</v>
      </c>
      <c r="G66" t="s">
        <v>281</v>
      </c>
      <c r="H66">
        <v>0.65</v>
      </c>
      <c r="I66">
        <v>2.1</v>
      </c>
      <c r="J66">
        <v>0.45</v>
      </c>
      <c r="L66" t="s">
        <v>264</v>
      </c>
      <c r="M66" t="s">
        <v>234</v>
      </c>
      <c r="N66">
        <v>228</v>
      </c>
      <c r="O66">
        <v>394.3</v>
      </c>
      <c r="P66">
        <v>53</v>
      </c>
      <c r="Q66">
        <v>138.19999999999999</v>
      </c>
      <c r="R66" s="4" t="s">
        <v>282</v>
      </c>
      <c r="S66" s="5">
        <f>(Tabelle1[[#This Row],[AW]]+Tabelle1[[#This Row],[F]])/(SQRT(Tabelle1[[#This Row],[Dach/FB/KD]])*4)</f>
        <v>9.5122856902060313</v>
      </c>
      <c r="T66">
        <v>414</v>
      </c>
      <c r="U66" s="5">
        <f>(SUM(Tabelle1[[#This Row],[AW]:[F]])+2*Tabelle1[[#This Row],[Dach/FB/KD]])/(Tabelle1[[#This Row],[Dach/FB/KD]]*Tabelle1[[#This Row],[Höhe]])</f>
        <v>0.55051054751907957</v>
      </c>
      <c r="V66" s="20">
        <f>Tabelle1[[#This Row],[F]]/SUM(Tabelle1[[#This Row],[AW]:[F]])</f>
        <v>0.1184887100380058</v>
      </c>
      <c r="W66" s="10">
        <f>Tabelle1[[#This Row],[WWR-total]]*4*WWR!$G$2</f>
        <v>5.5003659543197379E-2</v>
      </c>
      <c r="X66" s="10">
        <f>Tabelle1[[#This Row],[WWR-total]]*4*WWR!$H$2</f>
        <v>0.13075758769993343</v>
      </c>
      <c r="Y66" s="10">
        <f>Tabelle1[[#This Row],[WWR-total]]*4*WWR!$I$2</f>
        <v>0.1574360052089589</v>
      </c>
      <c r="Z66" s="10">
        <f>Tabelle1[[#This Row],[WWR-total]]*4*WWR!$J$2</f>
        <v>0.13075758769993343</v>
      </c>
      <c r="AA66" t="s">
        <v>133</v>
      </c>
      <c r="AB66">
        <v>4.5</v>
      </c>
    </row>
    <row r="67" spans="1:28" x14ac:dyDescent="0.3">
      <c r="A67" t="s">
        <v>181</v>
      </c>
      <c r="B67" t="s">
        <v>122</v>
      </c>
      <c r="C67" t="s">
        <v>179</v>
      </c>
      <c r="D67" t="s">
        <v>126</v>
      </c>
      <c r="E67">
        <v>0.3</v>
      </c>
      <c r="F67">
        <v>1.1000000000000001</v>
      </c>
      <c r="H67">
        <v>0.6</v>
      </c>
      <c r="I67">
        <v>0.35</v>
      </c>
      <c r="J67">
        <v>0.15</v>
      </c>
      <c r="N67">
        <v>41</v>
      </c>
      <c r="V67" s="10">
        <v>0.1184887100380058</v>
      </c>
      <c r="W67" s="10">
        <f>Tabelle1[[#This Row],[WWR-total]]*4*WWR!$G$2</f>
        <v>5.5003659543197379E-2</v>
      </c>
      <c r="X67" s="10">
        <f>Tabelle1[[#This Row],[WWR-total]]*4*WWR!$H$2</f>
        <v>0.13075758769993343</v>
      </c>
      <c r="Y67" s="10">
        <f>Tabelle1[[#This Row],[WWR-total]]*4*WWR!$I$2</f>
        <v>0.1574360052089589</v>
      </c>
      <c r="Z67" s="10">
        <f>Tabelle1[[#This Row],[WWR-total]]*4*WWR!$J$2</f>
        <v>0.13075758769993343</v>
      </c>
      <c r="AA67" t="s">
        <v>133</v>
      </c>
      <c r="AB67">
        <v>3</v>
      </c>
    </row>
    <row r="68" spans="1:28" x14ac:dyDescent="0.3">
      <c r="A68" t="s">
        <v>182</v>
      </c>
      <c r="B68" t="s">
        <v>122</v>
      </c>
      <c r="C68" t="s">
        <v>179</v>
      </c>
      <c r="D68" t="s">
        <v>128</v>
      </c>
      <c r="E68">
        <v>0.25</v>
      </c>
      <c r="F68">
        <v>0.8</v>
      </c>
      <c r="H68">
        <v>0.5</v>
      </c>
      <c r="I68">
        <v>0.35</v>
      </c>
      <c r="J68">
        <v>0.15</v>
      </c>
      <c r="N68">
        <v>35</v>
      </c>
      <c r="V68" s="10">
        <v>0.1184887100380058</v>
      </c>
      <c r="W68" s="10">
        <f>Tabelle1[[#This Row],[WWR-total]]*4*WWR!$G$2</f>
        <v>5.5003659543197379E-2</v>
      </c>
      <c r="X68" s="10">
        <f>Tabelle1[[#This Row],[WWR-total]]*4*WWR!$H$2</f>
        <v>0.13075758769993343</v>
      </c>
      <c r="Y68" s="10">
        <f>Tabelle1[[#This Row],[WWR-total]]*4*WWR!$I$2</f>
        <v>0.1574360052089589</v>
      </c>
      <c r="Z68" s="10">
        <f>Tabelle1[[#This Row],[WWR-total]]*4*WWR!$J$2</f>
        <v>0.13075758769993343</v>
      </c>
      <c r="AA68" t="s">
        <v>133</v>
      </c>
      <c r="AB68">
        <v>1.5</v>
      </c>
    </row>
    <row r="69" spans="1:28" x14ac:dyDescent="0.3">
      <c r="A69" t="s">
        <v>183</v>
      </c>
      <c r="B69" t="s">
        <v>132</v>
      </c>
      <c r="C69" t="s">
        <v>179</v>
      </c>
      <c r="D69" t="s">
        <v>109</v>
      </c>
      <c r="E69">
        <v>1.4</v>
      </c>
      <c r="F69">
        <v>1.55</v>
      </c>
      <c r="G69" t="s">
        <v>281</v>
      </c>
      <c r="H69">
        <v>0.65</v>
      </c>
      <c r="I69">
        <v>1.05</v>
      </c>
      <c r="J69">
        <v>0.9</v>
      </c>
      <c r="L69" t="s">
        <v>242</v>
      </c>
      <c r="M69" t="s">
        <v>234</v>
      </c>
      <c r="N69">
        <v>203</v>
      </c>
      <c r="O69">
        <v>378.4</v>
      </c>
      <c r="P69">
        <v>33.6</v>
      </c>
      <c r="Q69">
        <v>122.9</v>
      </c>
      <c r="R69" s="4" t="s">
        <v>283</v>
      </c>
      <c r="S69" s="5">
        <f>(Tabelle1[[#This Row],[AW]]+Tabelle1[[#This Row],[F]])/(SQRT(Tabelle1[[#This Row],[Dach/FB/KD]])*4)</f>
        <v>9.2909748240670815</v>
      </c>
      <c r="T69">
        <v>369</v>
      </c>
      <c r="U69" s="5">
        <f>(SUM(Tabelle1[[#This Row],[AW]:[F]])+2*Tabelle1[[#This Row],[Dach/FB/KD]])/(Tabelle1[[#This Row],[Dach/FB/KD]]*Tabelle1[[#This Row],[Höhe]])</f>
        <v>0.57607722115857529</v>
      </c>
      <c r="V69" s="20">
        <f>Tabelle1[[#This Row],[F]]/SUM(Tabelle1[[#This Row],[AW]:[F]])</f>
        <v>8.155339805825243E-2</v>
      </c>
      <c r="W69" s="10">
        <f>Tabelle1[[#This Row],[WWR-total]]*4*WWR!$G$2</f>
        <v>3.7857913550988533E-2</v>
      </c>
      <c r="X69" s="10">
        <f>Tabelle1[[#This Row],[WWR-total]]*4*WWR!$H$2</f>
        <v>8.999782000672539E-2</v>
      </c>
      <c r="Y69" s="10">
        <f>Tabelle1[[#This Row],[WWR-total]]*4*WWR!$I$2</f>
        <v>0.10836003866857034</v>
      </c>
      <c r="Z69" s="10">
        <f>Tabelle1[[#This Row],[WWR-total]]*4*WWR!$J$2</f>
        <v>8.999782000672539E-2</v>
      </c>
      <c r="AA69" t="s">
        <v>177</v>
      </c>
      <c r="AB69">
        <v>4.5</v>
      </c>
    </row>
    <row r="70" spans="1:28" x14ac:dyDescent="0.3">
      <c r="A70" t="s">
        <v>184</v>
      </c>
      <c r="B70" t="s">
        <v>132</v>
      </c>
      <c r="C70" t="s">
        <v>179</v>
      </c>
      <c r="D70" t="s">
        <v>126</v>
      </c>
      <c r="E70">
        <v>0.35</v>
      </c>
      <c r="F70">
        <v>1.2</v>
      </c>
      <c r="H70">
        <v>0.6</v>
      </c>
      <c r="I70">
        <v>0.35</v>
      </c>
      <c r="J70">
        <v>0.2</v>
      </c>
      <c r="N70">
        <v>59</v>
      </c>
      <c r="V70" s="10">
        <v>8.155339805825243E-2</v>
      </c>
      <c r="W70" s="10">
        <f>Tabelle1[[#This Row],[WWR-total]]*4*WWR!$G$2</f>
        <v>3.7857913550988533E-2</v>
      </c>
      <c r="X70" s="10">
        <f>Tabelle1[[#This Row],[WWR-total]]*4*WWR!$H$2</f>
        <v>8.999782000672539E-2</v>
      </c>
      <c r="Y70" s="10">
        <f>Tabelle1[[#This Row],[WWR-total]]*4*WWR!$I$2</f>
        <v>0.10836003866857034</v>
      </c>
      <c r="Z70" s="10">
        <f>Tabelle1[[#This Row],[WWR-total]]*4*WWR!$J$2</f>
        <v>8.999782000672539E-2</v>
      </c>
      <c r="AA70" t="s">
        <v>177</v>
      </c>
      <c r="AB70">
        <v>3</v>
      </c>
    </row>
    <row r="71" spans="1:28" x14ac:dyDescent="0.3">
      <c r="A71" t="s">
        <v>185</v>
      </c>
      <c r="B71" t="s">
        <v>132</v>
      </c>
      <c r="C71" t="s">
        <v>179</v>
      </c>
      <c r="D71" t="s">
        <v>128</v>
      </c>
      <c r="E71">
        <v>0.2</v>
      </c>
      <c r="F71">
        <v>1</v>
      </c>
      <c r="H71">
        <v>0.5</v>
      </c>
      <c r="I71">
        <v>0.25</v>
      </c>
      <c r="J71">
        <v>0.2</v>
      </c>
      <c r="N71">
        <v>40</v>
      </c>
      <c r="V71" s="10">
        <v>8.155339805825243E-2</v>
      </c>
      <c r="W71" s="10">
        <f>Tabelle1[[#This Row],[WWR-total]]*4*WWR!$G$2</f>
        <v>3.7857913550988533E-2</v>
      </c>
      <c r="X71" s="10">
        <f>Tabelle1[[#This Row],[WWR-total]]*4*WWR!$H$2</f>
        <v>8.999782000672539E-2</v>
      </c>
      <c r="Y71" s="10">
        <f>Tabelle1[[#This Row],[WWR-total]]*4*WWR!$I$2</f>
        <v>0.10836003866857034</v>
      </c>
      <c r="Z71" s="10">
        <f>Tabelle1[[#This Row],[WWR-total]]*4*WWR!$J$2</f>
        <v>8.999782000672539E-2</v>
      </c>
      <c r="AA71" t="s">
        <v>177</v>
      </c>
      <c r="AB71">
        <v>1.5</v>
      </c>
    </row>
    <row r="72" spans="1:28" x14ac:dyDescent="0.3">
      <c r="A72" t="s">
        <v>186</v>
      </c>
      <c r="B72" t="s">
        <v>102</v>
      </c>
      <c r="C72" t="s">
        <v>179</v>
      </c>
      <c r="D72" t="s">
        <v>109</v>
      </c>
      <c r="E72">
        <v>1.2</v>
      </c>
      <c r="F72">
        <v>2.5</v>
      </c>
      <c r="G72" t="s">
        <v>269</v>
      </c>
      <c r="H72">
        <v>0.65</v>
      </c>
      <c r="I72">
        <v>1.05</v>
      </c>
      <c r="J72">
        <v>0.9</v>
      </c>
      <c r="L72" t="s">
        <v>276</v>
      </c>
      <c r="M72" t="s">
        <v>271</v>
      </c>
      <c r="N72">
        <v>162</v>
      </c>
      <c r="O72">
        <v>451</v>
      </c>
      <c r="P72">
        <v>38.4</v>
      </c>
      <c r="Q72">
        <v>374</v>
      </c>
      <c r="R72" s="4" t="s">
        <v>284</v>
      </c>
      <c r="S72" s="5">
        <f>(Tabelle1[[#This Row],[AW]]+Tabelle1[[#This Row],[F]])/(SQRT(Tabelle1[[#This Row],[Dach/FB/KD]])*4)</f>
        <v>6.3265678870890589</v>
      </c>
      <c r="T72">
        <v>748</v>
      </c>
      <c r="U72" s="5">
        <f>(SUM(Tabelle1[[#This Row],[AW]:[F]])+2*Tabelle1[[#This Row],[Dach/FB/KD]])/(Tabelle1[[#This Row],[Dach/FB/KD]]*Tabelle1[[#This Row],[Höhe]])</f>
        <v>0.52296224568846483</v>
      </c>
      <c r="V72" s="20">
        <f>Tabelle1[[#This Row],[F]]/SUM(Tabelle1[[#This Row],[AW]:[F]])</f>
        <v>7.8463424601552922E-2</v>
      </c>
      <c r="W72" s="10">
        <f>Tabelle1[[#This Row],[WWR-total]]*4*WWR!$G$2</f>
        <v>3.6423516569577388E-2</v>
      </c>
      <c r="X72" s="10">
        <f>Tabelle1[[#This Row],[WWR-total]]*4*WWR!$H$2</f>
        <v>8.658789618254624E-2</v>
      </c>
      <c r="Y72" s="10">
        <f>Tabelle1[[#This Row],[WWR-total]]*4*WWR!$I$2</f>
        <v>0.10425438947154178</v>
      </c>
      <c r="Z72" s="10">
        <f>Tabelle1[[#This Row],[WWR-total]]*4*WWR!$J$2</f>
        <v>8.658789618254624E-2</v>
      </c>
      <c r="AA72" t="s">
        <v>133</v>
      </c>
      <c r="AB72">
        <v>4.5</v>
      </c>
    </row>
    <row r="73" spans="1:28" x14ac:dyDescent="0.3">
      <c r="A73" t="s">
        <v>187</v>
      </c>
      <c r="B73" t="s">
        <v>102</v>
      </c>
      <c r="C73" t="s">
        <v>179</v>
      </c>
      <c r="D73" t="s">
        <v>126</v>
      </c>
      <c r="E73">
        <v>0.35</v>
      </c>
      <c r="F73">
        <v>1.2</v>
      </c>
      <c r="H73">
        <v>0.6</v>
      </c>
      <c r="I73">
        <v>0.4</v>
      </c>
      <c r="J73">
        <v>0.9</v>
      </c>
      <c r="N73">
        <v>51</v>
      </c>
      <c r="V73" s="10">
        <v>7.8463424601552922E-2</v>
      </c>
      <c r="W73" s="10">
        <f>Tabelle1[[#This Row],[WWR-total]]*4*WWR!$G$2</f>
        <v>3.6423516569577388E-2</v>
      </c>
      <c r="X73" s="10">
        <f>Tabelle1[[#This Row],[WWR-total]]*4*WWR!$H$2</f>
        <v>8.658789618254624E-2</v>
      </c>
      <c r="Y73" s="10">
        <f>Tabelle1[[#This Row],[WWR-total]]*4*WWR!$I$2</f>
        <v>0.10425438947154178</v>
      </c>
      <c r="Z73" s="10">
        <f>Tabelle1[[#This Row],[WWR-total]]*4*WWR!$J$2</f>
        <v>8.658789618254624E-2</v>
      </c>
      <c r="AA73" t="s">
        <v>133</v>
      </c>
      <c r="AB73">
        <v>3</v>
      </c>
    </row>
    <row r="74" spans="1:28" x14ac:dyDescent="0.3">
      <c r="A74" t="s">
        <v>188</v>
      </c>
      <c r="B74" t="s">
        <v>102</v>
      </c>
      <c r="C74" t="s">
        <v>179</v>
      </c>
      <c r="D74" t="s">
        <v>128</v>
      </c>
      <c r="E74">
        <v>0.35</v>
      </c>
      <c r="F74">
        <v>1.2</v>
      </c>
      <c r="H74">
        <v>0.5</v>
      </c>
      <c r="I74">
        <v>0.3</v>
      </c>
      <c r="J74">
        <v>0.2</v>
      </c>
      <c r="N74">
        <v>40</v>
      </c>
      <c r="V74" s="10">
        <v>7.8463424601552922E-2</v>
      </c>
      <c r="W74" s="10">
        <f>Tabelle1[[#This Row],[WWR-total]]*4*WWR!$G$2</f>
        <v>3.6423516569577388E-2</v>
      </c>
      <c r="X74" s="10">
        <f>Tabelle1[[#This Row],[WWR-total]]*4*WWR!$H$2</f>
        <v>8.658789618254624E-2</v>
      </c>
      <c r="Y74" s="10">
        <f>Tabelle1[[#This Row],[WWR-total]]*4*WWR!$I$2</f>
        <v>0.10425438947154178</v>
      </c>
      <c r="Z74" s="10">
        <f>Tabelle1[[#This Row],[WWR-total]]*4*WWR!$J$2</f>
        <v>8.658789618254624E-2</v>
      </c>
      <c r="AA74" t="s">
        <v>133</v>
      </c>
      <c r="AB74">
        <v>1.5</v>
      </c>
    </row>
    <row r="75" spans="1:28" x14ac:dyDescent="0.3">
      <c r="A75" t="s">
        <v>189</v>
      </c>
      <c r="B75" t="s">
        <v>103</v>
      </c>
      <c r="C75" t="s">
        <v>179</v>
      </c>
      <c r="D75" t="s">
        <v>109</v>
      </c>
      <c r="E75">
        <v>1.31</v>
      </c>
      <c r="F75">
        <v>1.1399999999999999</v>
      </c>
      <c r="G75" t="s">
        <v>285</v>
      </c>
      <c r="H75">
        <v>0.65</v>
      </c>
      <c r="I75">
        <v>1.23</v>
      </c>
      <c r="J75">
        <v>0.94</v>
      </c>
      <c r="L75" t="s">
        <v>249</v>
      </c>
      <c r="M75" t="s">
        <v>243</v>
      </c>
      <c r="N75">
        <v>170</v>
      </c>
      <c r="O75">
        <v>506.6</v>
      </c>
      <c r="P75">
        <v>67.2</v>
      </c>
      <c r="Q75">
        <v>206.3</v>
      </c>
      <c r="R75" s="4" t="s">
        <v>286</v>
      </c>
      <c r="S75" s="5">
        <f>(Tabelle1[[#This Row],[AW]]+Tabelle1[[#This Row],[F]])/(SQRT(Tabelle1[[#This Row],[Dach/FB/KD]])*4)</f>
        <v>9.9873653823548096</v>
      </c>
      <c r="T75">
        <v>619</v>
      </c>
      <c r="U75" s="5">
        <f>(SUM(Tabelle1[[#This Row],[AW]:[F]])+2*Tabelle1[[#This Row],[Dach/FB/KD]])/(Tabelle1[[#This Row],[Dach/FB/KD]]*Tabelle1[[#This Row],[Höhe]])</f>
        <v>0.47874350717497982</v>
      </c>
      <c r="V75" s="20">
        <f>Tabelle1[[#This Row],[F]]/SUM(Tabelle1[[#This Row],[AW]:[F]])</f>
        <v>0.1171139769954688</v>
      </c>
      <c r="W75" s="10">
        <f>Tabelle1[[#This Row],[WWR-total]]*4*WWR!$G$2</f>
        <v>5.4365494538191964E-2</v>
      </c>
      <c r="X75" s="10">
        <f>Tabelle1[[#This Row],[WWR-total]]*4*WWR!$H$2</f>
        <v>0.12924050834008666</v>
      </c>
      <c r="Y75" s="10">
        <f>Tabelle1[[#This Row],[WWR-total]]*4*WWR!$I$2</f>
        <v>0.15560939676350985</v>
      </c>
      <c r="Z75" s="10">
        <f>Tabelle1[[#This Row],[WWR-total]]*4*WWR!$J$2</f>
        <v>0.12924050834008666</v>
      </c>
      <c r="AA75" t="s">
        <v>177</v>
      </c>
      <c r="AB75">
        <v>4.5</v>
      </c>
    </row>
    <row r="76" spans="1:28" x14ac:dyDescent="0.3">
      <c r="A76" t="s">
        <v>190</v>
      </c>
      <c r="B76" t="s">
        <v>103</v>
      </c>
      <c r="C76" t="s">
        <v>179</v>
      </c>
      <c r="D76" t="s">
        <v>126</v>
      </c>
      <c r="E76">
        <v>0.35</v>
      </c>
      <c r="F76">
        <v>1</v>
      </c>
      <c r="H76">
        <v>0.6</v>
      </c>
      <c r="I76">
        <v>0.4</v>
      </c>
      <c r="J76">
        <v>0.2</v>
      </c>
      <c r="N76">
        <v>51</v>
      </c>
      <c r="V76" s="10">
        <v>0.1171139769954688</v>
      </c>
      <c r="W76" s="10">
        <f>Tabelle1[[#This Row],[WWR-total]]*4*WWR!$G$2</f>
        <v>5.4365494538191964E-2</v>
      </c>
      <c r="X76" s="10">
        <f>Tabelle1[[#This Row],[WWR-total]]*4*WWR!$H$2</f>
        <v>0.12924050834008666</v>
      </c>
      <c r="Y76" s="10">
        <f>Tabelle1[[#This Row],[WWR-total]]*4*WWR!$I$2</f>
        <v>0.15560939676350985</v>
      </c>
      <c r="Z76" s="10">
        <f>Tabelle1[[#This Row],[WWR-total]]*4*WWR!$J$2</f>
        <v>0.12924050834008666</v>
      </c>
      <c r="AA76" t="s">
        <v>177</v>
      </c>
      <c r="AB76">
        <v>3</v>
      </c>
    </row>
    <row r="77" spans="1:28" x14ac:dyDescent="0.3">
      <c r="A77" t="s">
        <v>191</v>
      </c>
      <c r="B77" t="s">
        <v>103</v>
      </c>
      <c r="C77" t="s">
        <v>179</v>
      </c>
      <c r="D77" t="s">
        <v>128</v>
      </c>
      <c r="E77">
        <v>0.15</v>
      </c>
      <c r="F77">
        <v>0.8</v>
      </c>
      <c r="H77">
        <v>0.5</v>
      </c>
      <c r="I77">
        <v>0.4</v>
      </c>
      <c r="J77">
        <v>0.2</v>
      </c>
      <c r="N77">
        <v>34</v>
      </c>
      <c r="V77" s="10">
        <v>0.1171139769954688</v>
      </c>
      <c r="W77" s="10">
        <f>Tabelle1[[#This Row],[WWR-total]]*4*WWR!$G$2</f>
        <v>5.4365494538191964E-2</v>
      </c>
      <c r="X77" s="10">
        <f>Tabelle1[[#This Row],[WWR-total]]*4*WWR!$H$2</f>
        <v>0.12924050834008666</v>
      </c>
      <c r="Y77" s="10">
        <f>Tabelle1[[#This Row],[WWR-total]]*4*WWR!$I$2</f>
        <v>0.15560939676350985</v>
      </c>
      <c r="Z77" s="10">
        <f>Tabelle1[[#This Row],[WWR-total]]*4*WWR!$J$2</f>
        <v>0.12924050834008666</v>
      </c>
      <c r="AA77" t="s">
        <v>177</v>
      </c>
      <c r="AB77">
        <v>1.5</v>
      </c>
    </row>
    <row r="78" spans="1:28" x14ac:dyDescent="0.3">
      <c r="A78" t="s">
        <v>192</v>
      </c>
      <c r="B78" t="s">
        <v>104</v>
      </c>
      <c r="C78" t="s">
        <v>179</v>
      </c>
      <c r="D78" t="s">
        <v>109</v>
      </c>
      <c r="E78">
        <v>0.5</v>
      </c>
      <c r="F78">
        <v>2.39</v>
      </c>
      <c r="G78" t="s">
        <v>287</v>
      </c>
      <c r="H78">
        <v>0.65</v>
      </c>
      <c r="I78">
        <v>0.63</v>
      </c>
      <c r="J78">
        <v>0.26</v>
      </c>
      <c r="L78" t="s">
        <v>288</v>
      </c>
      <c r="M78" t="s">
        <v>243</v>
      </c>
      <c r="N78">
        <v>84</v>
      </c>
      <c r="O78">
        <v>514.20000000000005</v>
      </c>
      <c r="P78">
        <v>82.3</v>
      </c>
      <c r="Q78">
        <v>263.60000000000002</v>
      </c>
      <c r="R78" s="4" t="s">
        <v>289</v>
      </c>
      <c r="S78" s="5">
        <f>(Tabelle1[[#This Row],[AW]]+Tabelle1[[#This Row],[F]])/(SQRT(Tabelle1[[#This Row],[Dach/FB/KD]])*4)</f>
        <v>9.1849702446603434</v>
      </c>
      <c r="T78">
        <v>787</v>
      </c>
      <c r="U78" s="5">
        <f>(SUM(Tabelle1[[#This Row],[AW]:[F]])+2*Tabelle1[[#This Row],[Dach/FB/KD]])/(Tabelle1[[#This Row],[Dach/FB/KD]]*Tabelle1[[#This Row],[Höhe]])</f>
        <v>0.46411672735493864</v>
      </c>
      <c r="V78" s="20">
        <f>Tabelle1[[#This Row],[F]]/SUM(Tabelle1[[#This Row],[AW]:[F]])</f>
        <v>0.13797150041911149</v>
      </c>
      <c r="W78" s="10">
        <f>Tabelle1[[#This Row],[WWR-total]]*4*WWR!$G$2</f>
        <v>6.4047768207475098E-2</v>
      </c>
      <c r="X78" s="10">
        <f>Tabelle1[[#This Row],[WWR-total]]*4*WWR!$H$2</f>
        <v>0.15225771772143268</v>
      </c>
      <c r="Y78" s="10">
        <f>Tabelle1[[#This Row],[WWR-total]]*4*WWR!$I$2</f>
        <v>0.18332279802610546</v>
      </c>
      <c r="Z78" s="10">
        <f>Tabelle1[[#This Row],[WWR-total]]*4*WWR!$J$2</f>
        <v>0.15225771772143268</v>
      </c>
      <c r="AA78" t="s">
        <v>177</v>
      </c>
      <c r="AB78">
        <v>4.5</v>
      </c>
    </row>
    <row r="79" spans="1:28" x14ac:dyDescent="0.3">
      <c r="A79" t="s">
        <v>193</v>
      </c>
      <c r="B79" t="s">
        <v>104</v>
      </c>
      <c r="C79" t="s">
        <v>179</v>
      </c>
      <c r="D79" t="s">
        <v>126</v>
      </c>
      <c r="E79">
        <v>0.5</v>
      </c>
      <c r="F79">
        <v>2.39</v>
      </c>
      <c r="H79">
        <v>0.6</v>
      </c>
      <c r="I79">
        <v>0.4</v>
      </c>
      <c r="J79">
        <v>0.2</v>
      </c>
      <c r="N79">
        <v>54</v>
      </c>
      <c r="V79" s="10">
        <v>0.13797150041911149</v>
      </c>
      <c r="W79" s="10">
        <f>Tabelle1[[#This Row],[WWR-total]]*4*WWR!$G$2</f>
        <v>6.4047768207475098E-2</v>
      </c>
      <c r="X79" s="10">
        <f>Tabelle1[[#This Row],[WWR-total]]*4*WWR!$H$2</f>
        <v>0.15225771772143268</v>
      </c>
      <c r="Y79" s="10">
        <f>Tabelle1[[#This Row],[WWR-total]]*4*WWR!$I$2</f>
        <v>0.18332279802610546</v>
      </c>
      <c r="Z79" s="10">
        <f>Tabelle1[[#This Row],[WWR-total]]*4*WWR!$J$2</f>
        <v>0.15225771772143268</v>
      </c>
      <c r="AA79" t="s">
        <v>177</v>
      </c>
      <c r="AB79">
        <v>3</v>
      </c>
    </row>
    <row r="80" spans="1:28" x14ac:dyDescent="0.3">
      <c r="A80" t="s">
        <v>194</v>
      </c>
      <c r="B80" t="s">
        <v>104</v>
      </c>
      <c r="C80" t="s">
        <v>179</v>
      </c>
      <c r="D80" t="s">
        <v>128</v>
      </c>
      <c r="E80">
        <v>0.5</v>
      </c>
      <c r="F80">
        <v>1</v>
      </c>
      <c r="H80">
        <v>0.5</v>
      </c>
      <c r="I80">
        <v>0.4</v>
      </c>
      <c r="J80">
        <v>0.2</v>
      </c>
      <c r="N80">
        <v>40</v>
      </c>
      <c r="V80" s="10">
        <v>0.13797150041911149</v>
      </c>
      <c r="W80" s="10">
        <f>Tabelle1[[#This Row],[WWR-total]]*4*WWR!$G$2</f>
        <v>6.4047768207475098E-2</v>
      </c>
      <c r="X80" s="10">
        <f>Tabelle1[[#This Row],[WWR-total]]*4*WWR!$H$2</f>
        <v>0.15225771772143268</v>
      </c>
      <c r="Y80" s="10">
        <f>Tabelle1[[#This Row],[WWR-total]]*4*WWR!$I$2</f>
        <v>0.18332279802610546</v>
      </c>
      <c r="Z80" s="10">
        <f>Tabelle1[[#This Row],[WWR-total]]*4*WWR!$J$2</f>
        <v>0.15225771772143268</v>
      </c>
      <c r="AA80" t="s">
        <v>177</v>
      </c>
      <c r="AB80">
        <v>1.5</v>
      </c>
    </row>
    <row r="81" spans="1:28" x14ac:dyDescent="0.3">
      <c r="A81" t="s">
        <v>195</v>
      </c>
      <c r="B81" t="s">
        <v>105</v>
      </c>
      <c r="C81" t="s">
        <v>179</v>
      </c>
      <c r="D81" t="s">
        <v>109</v>
      </c>
      <c r="E81">
        <v>0.56000000000000005</v>
      </c>
      <c r="F81">
        <v>1.51</v>
      </c>
      <c r="G81" t="s">
        <v>275</v>
      </c>
      <c r="H81">
        <v>0.65</v>
      </c>
      <c r="I81">
        <v>0.44</v>
      </c>
      <c r="J81">
        <v>0.32</v>
      </c>
      <c r="L81" t="s">
        <v>290</v>
      </c>
      <c r="M81" t="s">
        <v>262</v>
      </c>
      <c r="N81">
        <v>74</v>
      </c>
      <c r="O81">
        <v>488.7</v>
      </c>
      <c r="P81">
        <v>64.7</v>
      </c>
      <c r="Q81">
        <v>205.8</v>
      </c>
      <c r="R81" s="4" t="s">
        <v>291</v>
      </c>
      <c r="S81" s="5">
        <f>(Tabelle1[[#This Row],[AW]]+Tabelle1[[#This Row],[F]])/(SQRT(Tabelle1[[#This Row],[Dach/FB/KD]])*4)</f>
        <v>9.643983935173539</v>
      </c>
      <c r="T81">
        <v>618</v>
      </c>
      <c r="U81" s="5">
        <f>(SUM(Tabelle1[[#This Row],[AW]:[F]])+2*Tabelle1[[#This Row],[Dach/FB/KD]])/(Tabelle1[[#This Row],[Dach/FB/KD]]*Tabelle1[[#This Row],[Höhe]])</f>
        <v>0.48621176642848607</v>
      </c>
      <c r="V81" s="20">
        <f>Tabelle1[[#This Row],[F]]/SUM(Tabelle1[[#This Row],[AW]:[F]])</f>
        <v>0.11691362486447417</v>
      </c>
      <c r="W81" s="10">
        <f>Tabelle1[[#This Row],[WWR-total]]*4*WWR!$G$2</f>
        <v>5.4272489049327681E-2</v>
      </c>
      <c r="X81" s="10">
        <f>Tabelle1[[#This Row],[WWR-total]]*4*WWR!$H$2</f>
        <v>0.12901941080825433</v>
      </c>
      <c r="Y81" s="10">
        <f>Tabelle1[[#This Row],[WWR-total]]*4*WWR!$I$2</f>
        <v>0.15534318879206027</v>
      </c>
      <c r="Z81" s="10">
        <f>Tabelle1[[#This Row],[WWR-total]]*4*WWR!$J$2</f>
        <v>0.12901941080825433</v>
      </c>
      <c r="AA81" t="s">
        <v>133</v>
      </c>
      <c r="AB81">
        <v>3</v>
      </c>
    </row>
    <row r="82" spans="1:28" x14ac:dyDescent="0.3">
      <c r="A82" t="s">
        <v>196</v>
      </c>
      <c r="B82" t="s">
        <v>105</v>
      </c>
      <c r="C82" t="s">
        <v>179</v>
      </c>
      <c r="D82" t="s">
        <v>126</v>
      </c>
      <c r="E82">
        <v>0.25</v>
      </c>
      <c r="F82">
        <v>1.51</v>
      </c>
      <c r="H82">
        <v>0.6</v>
      </c>
      <c r="I82">
        <v>0.44</v>
      </c>
      <c r="J82">
        <v>0.32</v>
      </c>
      <c r="N82">
        <v>50</v>
      </c>
      <c r="V82" s="10">
        <v>0.11691362486447417</v>
      </c>
      <c r="W82" s="10">
        <f>Tabelle1[[#This Row],[WWR-total]]*4*WWR!$G$2</f>
        <v>5.4272489049327681E-2</v>
      </c>
      <c r="X82" s="10">
        <f>Tabelle1[[#This Row],[WWR-total]]*4*WWR!$H$2</f>
        <v>0.12901941080825433</v>
      </c>
      <c r="Y82" s="10">
        <f>Tabelle1[[#This Row],[WWR-total]]*4*WWR!$I$2</f>
        <v>0.15534318879206027</v>
      </c>
      <c r="Z82" s="10">
        <f>Tabelle1[[#This Row],[WWR-total]]*4*WWR!$J$2</f>
        <v>0.12901941080825433</v>
      </c>
      <c r="AA82" t="s">
        <v>133</v>
      </c>
      <c r="AB82">
        <v>3</v>
      </c>
    </row>
    <row r="83" spans="1:28" x14ac:dyDescent="0.3">
      <c r="A83" t="s">
        <v>197</v>
      </c>
      <c r="B83" t="s">
        <v>105</v>
      </c>
      <c r="C83" t="s">
        <v>179</v>
      </c>
      <c r="D83" t="s">
        <v>128</v>
      </c>
      <c r="E83">
        <v>0.2</v>
      </c>
      <c r="F83">
        <v>1.51</v>
      </c>
      <c r="H83">
        <v>0.5</v>
      </c>
      <c r="I83">
        <v>0.25</v>
      </c>
      <c r="J83">
        <v>0.32</v>
      </c>
      <c r="N83">
        <v>39</v>
      </c>
      <c r="V83" s="10">
        <v>0.11691362486447417</v>
      </c>
      <c r="W83" s="10">
        <f>Tabelle1[[#This Row],[WWR-total]]*4*WWR!$G$2</f>
        <v>5.4272489049327681E-2</v>
      </c>
      <c r="X83" s="10">
        <f>Tabelle1[[#This Row],[WWR-total]]*4*WWR!$H$2</f>
        <v>0.12901941080825433</v>
      </c>
      <c r="Y83" s="10">
        <f>Tabelle1[[#This Row],[WWR-total]]*4*WWR!$I$2</f>
        <v>0.15534318879206027</v>
      </c>
      <c r="Z83" s="10">
        <f>Tabelle1[[#This Row],[WWR-total]]*4*WWR!$J$2</f>
        <v>0.12901941080825433</v>
      </c>
      <c r="AA83" t="s">
        <v>177</v>
      </c>
      <c r="AB83">
        <v>1.5</v>
      </c>
    </row>
    <row r="84" spans="1:28" x14ac:dyDescent="0.3">
      <c r="A84" t="s">
        <v>198</v>
      </c>
      <c r="B84" t="s">
        <v>150</v>
      </c>
      <c r="C84" t="s">
        <v>179</v>
      </c>
      <c r="D84" t="s">
        <v>109</v>
      </c>
      <c r="E84">
        <v>0.16</v>
      </c>
      <c r="F84">
        <v>1.1000000000000001</v>
      </c>
      <c r="G84" t="s">
        <v>292</v>
      </c>
      <c r="H84">
        <v>0.6</v>
      </c>
      <c r="I84">
        <v>0.21</v>
      </c>
      <c r="J84">
        <v>0.17</v>
      </c>
      <c r="L84" t="s">
        <v>290</v>
      </c>
      <c r="M84" t="s">
        <v>233</v>
      </c>
      <c r="N84">
        <v>41</v>
      </c>
      <c r="O84">
        <v>302.3</v>
      </c>
      <c r="P84">
        <v>42.5</v>
      </c>
      <c r="Q84">
        <v>130</v>
      </c>
      <c r="R84" s="4" t="s">
        <v>291</v>
      </c>
      <c r="S84" s="5">
        <f>(Tabelle1[[#This Row],[AW]]+Tabelle1[[#This Row],[F]])/(SQRT(Tabelle1[[#This Row],[Dach/FB/KD]])*4)</f>
        <v>7.5602401264265922</v>
      </c>
      <c r="T84">
        <v>875</v>
      </c>
      <c r="U84" s="5">
        <f>(SUM(Tabelle1[[#This Row],[AW]:[F]])+2*Tabelle1[[#This Row],[Dach/FB/KD]])/(Tabelle1[[#This Row],[Dach/FB/KD]]*Tabelle1[[#This Row],[Höhe]])</f>
        <v>0.61536506969476934</v>
      </c>
      <c r="V84" s="20">
        <f>Tabelle1[[#This Row],[F]]/SUM(Tabelle1[[#This Row],[AW]:[F]])</f>
        <v>0.1232598607888631</v>
      </c>
      <c r="W84" s="10">
        <f>Tabelle1[[#This Row],[WWR-total]]*4*WWR!$G$2</f>
        <v>5.7218476055633453E-2</v>
      </c>
      <c r="X84" s="10">
        <f>Tabelle1[[#This Row],[WWR-total]]*4*WWR!$H$2</f>
        <v>0.13602276581297659</v>
      </c>
      <c r="Y84" s="10">
        <f>Tabelle1[[#This Row],[WWR-total]]*4*WWR!$I$2</f>
        <v>0.16377543547386567</v>
      </c>
      <c r="Z84" s="10">
        <f>Tabelle1[[#This Row],[WWR-total]]*4*WWR!$J$2</f>
        <v>0.13602276581297659</v>
      </c>
      <c r="AA84" t="s">
        <v>177</v>
      </c>
      <c r="AB84">
        <v>3</v>
      </c>
    </row>
    <row r="85" spans="1:28" x14ac:dyDescent="0.3">
      <c r="A85" t="s">
        <v>199</v>
      </c>
      <c r="B85" t="s">
        <v>152</v>
      </c>
      <c r="C85" t="s">
        <v>179</v>
      </c>
      <c r="D85" t="s">
        <v>109</v>
      </c>
      <c r="E85">
        <v>0.1</v>
      </c>
      <c r="F85">
        <v>0.7</v>
      </c>
      <c r="G85" t="s">
        <v>292</v>
      </c>
      <c r="H85">
        <v>0.5</v>
      </c>
      <c r="I85">
        <v>0.1</v>
      </c>
      <c r="J85">
        <v>0.08</v>
      </c>
      <c r="L85" t="s">
        <v>293</v>
      </c>
      <c r="M85" t="s">
        <v>278</v>
      </c>
      <c r="N85">
        <v>24</v>
      </c>
      <c r="O85">
        <v>302.3</v>
      </c>
      <c r="P85">
        <v>42.5</v>
      </c>
      <c r="Q85">
        <v>130</v>
      </c>
      <c r="R85" s="4" t="s">
        <v>291</v>
      </c>
      <c r="S85" s="5">
        <f>(Tabelle1[[#This Row],[AW]]+Tabelle1[[#This Row],[F]])/(SQRT(Tabelle1[[#This Row],[Dach/FB/KD]])*4)</f>
        <v>7.5602401264265922</v>
      </c>
      <c r="T85">
        <v>875</v>
      </c>
      <c r="U85" s="5">
        <f>(SUM(Tabelle1[[#This Row],[AW]:[F]])+2*Tabelle1[[#This Row],[Dach/FB/KD]])/(Tabelle1[[#This Row],[Dach/FB/KD]]*Tabelle1[[#This Row],[Höhe]])</f>
        <v>0.61536506969476934</v>
      </c>
      <c r="V85" s="20">
        <f>Tabelle1[[#This Row],[F]]/SUM(Tabelle1[[#This Row],[AW]:[F]])</f>
        <v>0.1232598607888631</v>
      </c>
      <c r="W85" s="10">
        <f>Tabelle1[[#This Row],[WWR-total]]*4*WWR!$G$2</f>
        <v>5.7218476055633453E-2</v>
      </c>
      <c r="X85" s="10">
        <f>Tabelle1[[#This Row],[WWR-total]]*4*WWR!$H$2</f>
        <v>0.13602276581297659</v>
      </c>
      <c r="Y85" s="10">
        <f>Tabelle1[[#This Row],[WWR-total]]*4*WWR!$I$2</f>
        <v>0.16377543547386567</v>
      </c>
      <c r="Z85" s="10">
        <f>Tabelle1[[#This Row],[WWR-total]]*4*WWR!$J$2</f>
        <v>0.13602276581297659</v>
      </c>
      <c r="AA85" t="s">
        <v>177</v>
      </c>
      <c r="AB85">
        <v>1.5</v>
      </c>
    </row>
    <row r="86" spans="1:28" hidden="1" x14ac:dyDescent="0.3">
      <c r="B86" t="s">
        <v>100</v>
      </c>
      <c r="C86" t="s">
        <v>207</v>
      </c>
      <c r="D86" t="s">
        <v>109</v>
      </c>
      <c r="E86">
        <v>1.4</v>
      </c>
      <c r="F86">
        <v>2.2000000000000002</v>
      </c>
      <c r="I86">
        <v>1.2</v>
      </c>
      <c r="J86">
        <v>1.1000000000000001</v>
      </c>
      <c r="N86" t="s">
        <v>200</v>
      </c>
      <c r="V86" s="10"/>
      <c r="W86" s="10">
        <f>Tabelle1[[#This Row],[WWR-total]]*4*WWR!$G$2</f>
        <v>0</v>
      </c>
      <c r="X86" s="10">
        <f>Tabelle1[[#This Row],[WWR-total]]*4*WWR!$H$2</f>
        <v>0</v>
      </c>
      <c r="Y86" s="10">
        <f>Tabelle1[[#This Row],[WWR-total]]*4*WWR!$I$2</f>
        <v>0</v>
      </c>
      <c r="Z86" s="10">
        <f>Tabelle1[[#This Row],[WWR-total]]*4*WWR!$J$2</f>
        <v>0</v>
      </c>
    </row>
    <row r="87" spans="1:28" hidden="1" x14ac:dyDescent="0.3">
      <c r="B87" t="s">
        <v>101</v>
      </c>
      <c r="C87" t="s">
        <v>207</v>
      </c>
      <c r="D87" t="s">
        <v>109</v>
      </c>
      <c r="E87">
        <v>1.4</v>
      </c>
      <c r="F87">
        <v>2.2999999999999998</v>
      </c>
      <c r="I87">
        <v>1.2</v>
      </c>
      <c r="J87">
        <v>0.8</v>
      </c>
      <c r="N87" t="s">
        <v>228</v>
      </c>
      <c r="V87" s="10"/>
      <c r="W87" s="10">
        <f>Tabelle1[[#This Row],[WWR-total]]*4*WWR!$G$2</f>
        <v>0</v>
      </c>
      <c r="X87" s="10">
        <f>Tabelle1[[#This Row],[WWR-total]]*4*WWR!$H$2</f>
        <v>0</v>
      </c>
      <c r="Y87" s="10">
        <f>Tabelle1[[#This Row],[WWR-total]]*4*WWR!$I$2</f>
        <v>0</v>
      </c>
      <c r="Z87" s="10">
        <f>Tabelle1[[#This Row],[WWR-total]]*4*WWR!$J$2</f>
        <v>0</v>
      </c>
    </row>
    <row r="88" spans="1:28" hidden="1" x14ac:dyDescent="0.3">
      <c r="B88" t="s">
        <v>102</v>
      </c>
      <c r="C88" t="s">
        <v>207</v>
      </c>
      <c r="D88" t="s">
        <v>109</v>
      </c>
      <c r="E88">
        <v>1.3</v>
      </c>
      <c r="F88">
        <v>2.2999999999999998</v>
      </c>
      <c r="I88">
        <v>1.2</v>
      </c>
      <c r="J88">
        <v>0.8</v>
      </c>
      <c r="N88" t="s">
        <v>228</v>
      </c>
      <c r="V88" s="10"/>
      <c r="W88" s="10">
        <f>Tabelle1[[#This Row],[WWR-total]]*4*WWR!$G$2</f>
        <v>0</v>
      </c>
      <c r="X88" s="10">
        <f>Tabelle1[[#This Row],[WWR-total]]*4*WWR!$H$2</f>
        <v>0</v>
      </c>
      <c r="Y88" s="10">
        <f>Tabelle1[[#This Row],[WWR-total]]*4*WWR!$I$2</f>
        <v>0</v>
      </c>
      <c r="Z88" s="10">
        <f>Tabelle1[[#This Row],[WWR-total]]*4*WWR!$J$2</f>
        <v>0</v>
      </c>
    </row>
    <row r="89" spans="1:28" hidden="1" x14ac:dyDescent="0.3">
      <c r="B89" t="s">
        <v>103</v>
      </c>
      <c r="C89" t="s">
        <v>207</v>
      </c>
      <c r="D89" t="s">
        <v>109</v>
      </c>
      <c r="E89">
        <v>1.1000000000000001</v>
      </c>
      <c r="F89">
        <v>2.7</v>
      </c>
      <c r="I89">
        <v>0.8</v>
      </c>
      <c r="J89">
        <v>0.7</v>
      </c>
      <c r="N89" t="s">
        <v>203</v>
      </c>
      <c r="V89" s="10"/>
      <c r="W89" s="10">
        <f>Tabelle1[[#This Row],[WWR-total]]*4*WWR!$G$2</f>
        <v>0</v>
      </c>
      <c r="X89" s="10">
        <f>Tabelle1[[#This Row],[WWR-total]]*4*WWR!$H$2</f>
        <v>0</v>
      </c>
      <c r="Y89" s="10">
        <f>Tabelle1[[#This Row],[WWR-total]]*4*WWR!$I$2</f>
        <v>0</v>
      </c>
      <c r="Z89" s="10">
        <f>Tabelle1[[#This Row],[WWR-total]]*4*WWR!$J$2</f>
        <v>0</v>
      </c>
    </row>
    <row r="90" spans="1:28" hidden="1" x14ac:dyDescent="0.3">
      <c r="B90" t="s">
        <v>104</v>
      </c>
      <c r="C90" t="s">
        <v>207</v>
      </c>
      <c r="D90" t="s">
        <v>109</v>
      </c>
      <c r="E90">
        <v>0.6</v>
      </c>
      <c r="F90">
        <v>2.5</v>
      </c>
      <c r="I90">
        <v>0.5</v>
      </c>
      <c r="J90">
        <v>0.4</v>
      </c>
      <c r="N90" t="s">
        <v>204</v>
      </c>
      <c r="V90" s="10"/>
      <c r="W90" s="10">
        <f>Tabelle1[[#This Row],[WWR-total]]*4*WWR!$G$2</f>
        <v>0</v>
      </c>
      <c r="X90" s="10">
        <f>Tabelle1[[#This Row],[WWR-total]]*4*WWR!$H$2</f>
        <v>0</v>
      </c>
      <c r="Y90" s="10">
        <f>Tabelle1[[#This Row],[WWR-total]]*4*WWR!$I$2</f>
        <v>0</v>
      </c>
      <c r="Z90" s="10">
        <f>Tabelle1[[#This Row],[WWR-total]]*4*WWR!$J$2</f>
        <v>0</v>
      </c>
    </row>
    <row r="91" spans="1:28" hidden="1" x14ac:dyDescent="0.3">
      <c r="B91" t="s">
        <v>105</v>
      </c>
      <c r="C91" t="s">
        <v>207</v>
      </c>
      <c r="D91" t="s">
        <v>109</v>
      </c>
      <c r="E91">
        <v>0.4</v>
      </c>
      <c r="F91">
        <v>1.8</v>
      </c>
      <c r="I91">
        <v>0.5</v>
      </c>
      <c r="J91">
        <v>0.3</v>
      </c>
      <c r="N91" t="s">
        <v>205</v>
      </c>
      <c r="V91" s="10"/>
      <c r="W91" s="10">
        <f>Tabelle1[[#This Row],[WWR-total]]*4*WWR!$G$2</f>
        <v>0</v>
      </c>
      <c r="X91" s="10">
        <f>Tabelle1[[#This Row],[WWR-total]]*4*WWR!$H$2</f>
        <v>0</v>
      </c>
      <c r="Y91" s="10">
        <f>Tabelle1[[#This Row],[WWR-total]]*4*WWR!$I$2</f>
        <v>0</v>
      </c>
      <c r="Z91" s="10">
        <f>Tabelle1[[#This Row],[WWR-total]]*4*WWR!$J$2</f>
        <v>0</v>
      </c>
    </row>
    <row r="92" spans="1:28" hidden="1" x14ac:dyDescent="0.3">
      <c r="B92" t="s">
        <v>155</v>
      </c>
      <c r="C92" t="s">
        <v>207</v>
      </c>
      <c r="D92" t="s">
        <v>109</v>
      </c>
      <c r="E92">
        <v>0.35</v>
      </c>
      <c r="F92">
        <v>1.4</v>
      </c>
      <c r="I92">
        <v>0.4</v>
      </c>
      <c r="J92">
        <v>0.2</v>
      </c>
      <c r="N92" s="3" t="s">
        <v>206</v>
      </c>
      <c r="O92" s="3"/>
      <c r="P92" s="3"/>
      <c r="Q92" s="3"/>
      <c r="R92" s="3"/>
      <c r="S92" s="3"/>
      <c r="T92" s="3"/>
      <c r="U92" s="3"/>
      <c r="V92" s="10"/>
      <c r="W92" s="10">
        <f>Tabelle1[[#This Row],[WWR-total]]*4*WWR!$G$2</f>
        <v>0</v>
      </c>
      <c r="X92" s="10">
        <f>Tabelle1[[#This Row],[WWR-total]]*4*WWR!$H$2</f>
        <v>0</v>
      </c>
      <c r="Y92" s="10">
        <f>Tabelle1[[#This Row],[WWR-total]]*4*WWR!$I$2</f>
        <v>0</v>
      </c>
      <c r="Z92" s="10">
        <f>Tabelle1[[#This Row],[WWR-total]]*4*WWR!$J$2</f>
        <v>0</v>
      </c>
    </row>
    <row r="93" spans="1:28" hidden="1" x14ac:dyDescent="0.3">
      <c r="B93" t="s">
        <v>107</v>
      </c>
      <c r="C93" t="s">
        <v>207</v>
      </c>
      <c r="D93" t="s">
        <v>109</v>
      </c>
      <c r="E93">
        <v>0.1</v>
      </c>
      <c r="F93">
        <v>0.6</v>
      </c>
      <c r="I93">
        <v>0.25</v>
      </c>
      <c r="J93">
        <v>0.1</v>
      </c>
      <c r="N93" s="3" t="s">
        <v>120</v>
      </c>
      <c r="O93" s="3"/>
      <c r="P93" s="3"/>
      <c r="Q93" s="3"/>
      <c r="R93" s="3"/>
      <c r="S93" s="3"/>
      <c r="T93" s="3"/>
      <c r="U93" s="3"/>
      <c r="V93" s="10"/>
      <c r="W93" s="10">
        <f>Tabelle1[[#This Row],[WWR-total]]*4*WWR!$G$2</f>
        <v>0</v>
      </c>
      <c r="X93" s="10">
        <f>Tabelle1[[#This Row],[WWR-total]]*4*WWR!$H$2</f>
        <v>0</v>
      </c>
      <c r="Y93" s="10">
        <f>Tabelle1[[#This Row],[WWR-total]]*4*WWR!$I$2</f>
        <v>0</v>
      </c>
      <c r="Z93" s="10">
        <f>Tabelle1[[#This Row],[WWR-total]]*4*WWR!$J$2</f>
        <v>0</v>
      </c>
    </row>
    <row r="94" spans="1:28" x14ac:dyDescent="0.3">
      <c r="A94" t="s">
        <v>208</v>
      </c>
      <c r="B94" t="s">
        <v>122</v>
      </c>
      <c r="C94" t="s">
        <v>207</v>
      </c>
      <c r="D94" t="s">
        <v>109</v>
      </c>
      <c r="E94">
        <v>1.1000000000000001</v>
      </c>
      <c r="F94">
        <v>3.1</v>
      </c>
      <c r="G94" t="s">
        <v>281</v>
      </c>
      <c r="H94">
        <v>0.65</v>
      </c>
      <c r="I94">
        <v>0.95</v>
      </c>
      <c r="J94">
        <v>0.51</v>
      </c>
      <c r="L94" t="s">
        <v>264</v>
      </c>
      <c r="M94" t="s">
        <v>234</v>
      </c>
      <c r="N94">
        <v>137</v>
      </c>
      <c r="O94">
        <v>942.8</v>
      </c>
      <c r="P94">
        <v>182.8</v>
      </c>
      <c r="Q94">
        <v>812.8</v>
      </c>
      <c r="R94" s="4" t="s">
        <v>294</v>
      </c>
      <c r="S94" s="5">
        <f>(Tabelle1[[#This Row],[AW]]+Tabelle1[[#This Row],[F]])/(SQRT(Tabelle1[[#This Row],[Dach/FB/KD]])*4)</f>
        <v>9.8703430163212929</v>
      </c>
      <c r="T94">
        <v>1538</v>
      </c>
      <c r="U94" s="5">
        <f>(SUM(Tabelle1[[#This Row],[AW]:[F]])+2*Tabelle1[[#This Row],[Dach/FB/KD]])/(Tabelle1[[#This Row],[Dach/FB/KD]]*Tabelle1[[#This Row],[Höhe]])</f>
        <v>0.3429305865143662</v>
      </c>
      <c r="V94" s="20">
        <f>Tabelle1[[#This Row],[F]]/SUM(Tabelle1[[#This Row],[AW]:[F]])</f>
        <v>0.16240227434257287</v>
      </c>
      <c r="W94" s="10">
        <f>Tabelle1[[#This Row],[WWR-total]]*4*WWR!$G$2</f>
        <v>7.5388780957397594E-2</v>
      </c>
      <c r="X94" s="10">
        <f>Tabelle1[[#This Row],[WWR-total]]*4*WWR!$H$2</f>
        <v>0.17921816874541288</v>
      </c>
      <c r="Y94" s="10">
        <f>Tabelle1[[#This Row],[WWR-total]]*4*WWR!$I$2</f>
        <v>0.21578397892206802</v>
      </c>
      <c r="Z94" s="10">
        <f>Tabelle1[[#This Row],[WWR-total]]*4*WWR!$J$2</f>
        <v>0.17921816874541288</v>
      </c>
      <c r="AA94" t="s">
        <v>133</v>
      </c>
      <c r="AB94">
        <v>4.5</v>
      </c>
    </row>
    <row r="95" spans="1:28" x14ac:dyDescent="0.3">
      <c r="A95" t="s">
        <v>209</v>
      </c>
      <c r="B95" t="s">
        <v>122</v>
      </c>
      <c r="C95" t="s">
        <v>207</v>
      </c>
      <c r="D95" t="s">
        <v>126</v>
      </c>
      <c r="E95">
        <v>0.3</v>
      </c>
      <c r="F95">
        <v>1.1000000000000001</v>
      </c>
      <c r="H95">
        <v>0.6</v>
      </c>
      <c r="I95">
        <v>0.35</v>
      </c>
      <c r="J95">
        <v>0.15</v>
      </c>
      <c r="N95">
        <v>41</v>
      </c>
      <c r="V95" s="10">
        <v>0.16240227434257287</v>
      </c>
      <c r="W95" s="10">
        <f>Tabelle1[[#This Row],[WWR-total]]*4*WWR!$G$2</f>
        <v>7.5388780957397594E-2</v>
      </c>
      <c r="X95" s="10">
        <f>Tabelle1[[#This Row],[WWR-total]]*4*WWR!$H$2</f>
        <v>0.17921816874541288</v>
      </c>
      <c r="Y95" s="10">
        <f>Tabelle1[[#This Row],[WWR-total]]*4*WWR!$I$2</f>
        <v>0.21578397892206802</v>
      </c>
      <c r="Z95" s="10">
        <f>Tabelle1[[#This Row],[WWR-total]]*4*WWR!$J$2</f>
        <v>0.17921816874541288</v>
      </c>
      <c r="AA95" t="s">
        <v>133</v>
      </c>
      <c r="AB95">
        <v>3</v>
      </c>
    </row>
    <row r="96" spans="1:28" x14ac:dyDescent="0.3">
      <c r="A96" t="s">
        <v>210</v>
      </c>
      <c r="B96" t="s">
        <v>122</v>
      </c>
      <c r="C96" t="s">
        <v>207</v>
      </c>
      <c r="D96" t="s">
        <v>128</v>
      </c>
      <c r="E96">
        <v>0.25</v>
      </c>
      <c r="F96">
        <v>0.9</v>
      </c>
      <c r="H96">
        <v>0.5</v>
      </c>
      <c r="I96">
        <v>0.35</v>
      </c>
      <c r="J96">
        <v>0.15</v>
      </c>
      <c r="N96">
        <v>35</v>
      </c>
      <c r="V96" s="10">
        <v>0.16240227434257287</v>
      </c>
      <c r="W96" s="10">
        <f>Tabelle1[[#This Row],[WWR-total]]*4*WWR!$G$2</f>
        <v>7.5388780957397594E-2</v>
      </c>
      <c r="X96" s="10">
        <f>Tabelle1[[#This Row],[WWR-total]]*4*WWR!$H$2</f>
        <v>0.17921816874541288</v>
      </c>
      <c r="Y96" s="10">
        <f>Tabelle1[[#This Row],[WWR-total]]*4*WWR!$I$2</f>
        <v>0.21578397892206802</v>
      </c>
      <c r="Z96" s="10">
        <f>Tabelle1[[#This Row],[WWR-total]]*4*WWR!$J$2</f>
        <v>0.17921816874541288</v>
      </c>
      <c r="AA96" t="s">
        <v>133</v>
      </c>
      <c r="AB96">
        <v>1.5</v>
      </c>
    </row>
    <row r="97" spans="1:28" x14ac:dyDescent="0.3">
      <c r="A97" t="s">
        <v>211</v>
      </c>
      <c r="B97" t="s">
        <v>132</v>
      </c>
      <c r="C97" t="s">
        <v>207</v>
      </c>
      <c r="D97" t="s">
        <v>109</v>
      </c>
      <c r="E97">
        <v>1.1599999999999999</v>
      </c>
      <c r="F97">
        <v>2.2999999999999998</v>
      </c>
      <c r="G97" t="s">
        <v>281</v>
      </c>
      <c r="H97">
        <v>0.65</v>
      </c>
      <c r="I97">
        <v>1.05</v>
      </c>
      <c r="J97">
        <v>0.68</v>
      </c>
      <c r="L97" t="s">
        <v>242</v>
      </c>
      <c r="M97" t="s">
        <v>234</v>
      </c>
      <c r="N97">
        <v>140</v>
      </c>
      <c r="O97">
        <v>966</v>
      </c>
      <c r="P97">
        <v>162</v>
      </c>
      <c r="Q97">
        <v>493</v>
      </c>
      <c r="R97" s="4" t="s">
        <v>295</v>
      </c>
      <c r="S97" s="5">
        <f>(Tabelle1[[#This Row],[AW]]+Tabelle1[[#This Row],[F]])/(SQRT(Tabelle1[[#This Row],[Dach/FB/KD]])*4)</f>
        <v>12.700641244931468</v>
      </c>
      <c r="T97">
        <v>1479</v>
      </c>
      <c r="U97" s="5">
        <f>(SUM(Tabelle1[[#This Row],[AW]:[F]])+2*Tabelle1[[#This Row],[Dach/FB/KD]])/(Tabelle1[[#This Row],[Dach/FB/KD]]*Tabelle1[[#This Row],[Höhe]])</f>
        <v>0.3376233035534571</v>
      </c>
      <c r="V97" s="20">
        <f>Tabelle1[[#This Row],[F]]/SUM(Tabelle1[[#This Row],[AW]:[F]])</f>
        <v>0.14361702127659576</v>
      </c>
      <c r="W97" s="10">
        <f>Tabelle1[[#This Row],[WWR-total]]*4*WWR!$G$2</f>
        <v>6.6668476181167127E-2</v>
      </c>
      <c r="X97" s="10">
        <f>Tabelle1[[#This Row],[WWR-total]]*4*WWR!$H$2</f>
        <v>0.15848780232947274</v>
      </c>
      <c r="Y97" s="10">
        <f>Tabelle1[[#This Row],[WWR-total]]*4*WWR!$I$2</f>
        <v>0.19082400426627036</v>
      </c>
      <c r="Z97" s="10">
        <f>Tabelle1[[#This Row],[WWR-total]]*4*WWR!$J$2</f>
        <v>0.15848780232947274</v>
      </c>
      <c r="AA97" t="s">
        <v>177</v>
      </c>
      <c r="AB97">
        <v>4.5</v>
      </c>
    </row>
    <row r="98" spans="1:28" x14ac:dyDescent="0.3">
      <c r="A98" t="s">
        <v>212</v>
      </c>
      <c r="B98" t="s">
        <v>132</v>
      </c>
      <c r="C98" t="s">
        <v>207</v>
      </c>
      <c r="D98" t="s">
        <v>126</v>
      </c>
      <c r="E98">
        <v>0.3</v>
      </c>
      <c r="F98">
        <v>1.1000000000000001</v>
      </c>
      <c r="H98">
        <v>0.6</v>
      </c>
      <c r="I98">
        <v>0.4</v>
      </c>
      <c r="J98">
        <v>0.2</v>
      </c>
      <c r="N98">
        <v>44</v>
      </c>
      <c r="V98" s="10">
        <v>0.14361702127659576</v>
      </c>
      <c r="W98" s="10">
        <f>Tabelle1[[#This Row],[WWR-total]]*4*WWR!$G$2</f>
        <v>6.6668476181167127E-2</v>
      </c>
      <c r="X98" s="10">
        <f>Tabelle1[[#This Row],[WWR-total]]*4*WWR!$H$2</f>
        <v>0.15848780232947274</v>
      </c>
      <c r="Y98" s="10">
        <f>Tabelle1[[#This Row],[WWR-total]]*4*WWR!$I$2</f>
        <v>0.19082400426627036</v>
      </c>
      <c r="Z98" s="10">
        <f>Tabelle1[[#This Row],[WWR-total]]*4*WWR!$J$2</f>
        <v>0.15848780232947274</v>
      </c>
      <c r="AA98" t="s">
        <v>177</v>
      </c>
      <c r="AB98">
        <v>3</v>
      </c>
    </row>
    <row r="99" spans="1:28" x14ac:dyDescent="0.3">
      <c r="A99" t="s">
        <v>213</v>
      </c>
      <c r="B99" t="s">
        <v>132</v>
      </c>
      <c r="C99" t="s">
        <v>207</v>
      </c>
      <c r="D99" t="s">
        <v>128</v>
      </c>
      <c r="E99">
        <v>0.2</v>
      </c>
      <c r="F99">
        <v>0.9</v>
      </c>
      <c r="H99">
        <v>0.5</v>
      </c>
      <c r="I99">
        <v>0.4</v>
      </c>
      <c r="J99">
        <v>0.15</v>
      </c>
      <c r="N99">
        <v>35</v>
      </c>
      <c r="V99" s="10">
        <v>0.14361702127659576</v>
      </c>
      <c r="W99" s="10">
        <f>Tabelle1[[#This Row],[WWR-total]]*4*WWR!$G$2</f>
        <v>6.6668476181167127E-2</v>
      </c>
      <c r="X99" s="10">
        <f>Tabelle1[[#This Row],[WWR-total]]*4*WWR!$H$2</f>
        <v>0.15848780232947274</v>
      </c>
      <c r="Y99" s="10">
        <f>Tabelle1[[#This Row],[WWR-total]]*4*WWR!$I$2</f>
        <v>0.19082400426627036</v>
      </c>
      <c r="Z99" s="10">
        <f>Tabelle1[[#This Row],[WWR-total]]*4*WWR!$J$2</f>
        <v>0.15848780232947274</v>
      </c>
      <c r="AA99" t="s">
        <v>177</v>
      </c>
      <c r="AB99">
        <v>1.5</v>
      </c>
    </row>
    <row r="100" spans="1:28" x14ac:dyDescent="0.3">
      <c r="A100" t="s">
        <v>214</v>
      </c>
      <c r="B100" t="s">
        <v>102</v>
      </c>
      <c r="C100" t="s">
        <v>207</v>
      </c>
      <c r="D100" t="s">
        <v>109</v>
      </c>
      <c r="E100">
        <v>0.9</v>
      </c>
      <c r="F100">
        <v>2.2999999999999998</v>
      </c>
      <c r="G100" t="s">
        <v>269</v>
      </c>
      <c r="H100">
        <v>0.65</v>
      </c>
      <c r="I100">
        <v>1.07</v>
      </c>
      <c r="J100">
        <v>0.9</v>
      </c>
      <c r="L100" t="s">
        <v>296</v>
      </c>
      <c r="M100" t="s">
        <v>271</v>
      </c>
      <c r="N100">
        <v>142</v>
      </c>
      <c r="O100">
        <v>457.5</v>
      </c>
      <c r="P100">
        <v>120.1</v>
      </c>
      <c r="Q100">
        <v>220.9</v>
      </c>
      <c r="R100" s="4" t="s">
        <v>297</v>
      </c>
      <c r="S100" s="5">
        <f>(Tabelle1[[#This Row],[AW]]+Tabelle1[[#This Row],[F]])/(SQRT(Tabelle1[[#This Row],[Dach/FB/KD]])*4)</f>
        <v>9.7155934920917861</v>
      </c>
      <c r="T100">
        <v>1013</v>
      </c>
      <c r="U100" s="5">
        <f>(SUM(Tabelle1[[#This Row],[AW]:[F]])+2*Tabelle1[[#This Row],[Dach/FB/KD]])/(Tabelle1[[#This Row],[Dach/FB/KD]]*Tabelle1[[#This Row],[Höhe]])</f>
        <v>0.47498465355920994</v>
      </c>
      <c r="V100" s="20">
        <f>Tabelle1[[#This Row],[F]]/SUM(Tabelle1[[#This Row],[AW]:[F]])</f>
        <v>0.2079293628808864</v>
      </c>
      <c r="W100" s="10">
        <f>Tabelle1[[#This Row],[WWR-total]]*4*WWR!$G$2</f>
        <v>9.6522916666624076E-2</v>
      </c>
      <c r="X100" s="10">
        <f>Tabelle1[[#This Row],[WWR-total]]*4*WWR!$H$2</f>
        <v>0.22945934590365613</v>
      </c>
      <c r="Y100" s="10">
        <f>Tabelle1[[#This Row],[WWR-total]]*4*WWR!$I$2</f>
        <v>0.27627584304960912</v>
      </c>
      <c r="Z100" s="10">
        <f>Tabelle1[[#This Row],[WWR-total]]*4*WWR!$J$2</f>
        <v>0.22945934590365613</v>
      </c>
      <c r="AA100" t="s">
        <v>133</v>
      </c>
      <c r="AB100">
        <v>4.5</v>
      </c>
    </row>
    <row r="101" spans="1:28" x14ac:dyDescent="0.3">
      <c r="A101" t="s">
        <v>215</v>
      </c>
      <c r="B101" t="s">
        <v>102</v>
      </c>
      <c r="C101" t="s">
        <v>207</v>
      </c>
      <c r="D101" t="s">
        <v>126</v>
      </c>
      <c r="E101">
        <v>0.35</v>
      </c>
      <c r="F101">
        <v>1.1000000000000001</v>
      </c>
      <c r="H101">
        <v>0.6</v>
      </c>
      <c r="I101">
        <v>0.4</v>
      </c>
      <c r="J101">
        <v>0.25</v>
      </c>
      <c r="N101">
        <v>40</v>
      </c>
      <c r="V101" s="10">
        <v>0.2079293628808864</v>
      </c>
      <c r="W101" s="10">
        <f>Tabelle1[[#This Row],[WWR-total]]*4*WWR!$G$2</f>
        <v>9.6522916666624076E-2</v>
      </c>
      <c r="X101" s="10">
        <f>Tabelle1[[#This Row],[WWR-total]]*4*WWR!$H$2</f>
        <v>0.22945934590365613</v>
      </c>
      <c r="Y101" s="10">
        <f>Tabelle1[[#This Row],[WWR-total]]*4*WWR!$I$2</f>
        <v>0.27627584304960912</v>
      </c>
      <c r="Z101" s="10">
        <f>Tabelle1[[#This Row],[WWR-total]]*4*WWR!$J$2</f>
        <v>0.22945934590365613</v>
      </c>
      <c r="AA101" t="s">
        <v>133</v>
      </c>
      <c r="AB101">
        <v>3</v>
      </c>
    </row>
    <row r="102" spans="1:28" x14ac:dyDescent="0.3">
      <c r="A102" t="s">
        <v>216</v>
      </c>
      <c r="B102" t="s">
        <v>102</v>
      </c>
      <c r="C102" t="s">
        <v>207</v>
      </c>
      <c r="D102" t="s">
        <v>128</v>
      </c>
      <c r="E102">
        <v>0.3</v>
      </c>
      <c r="F102">
        <v>0.9</v>
      </c>
      <c r="H102">
        <v>0.5</v>
      </c>
      <c r="I102">
        <v>0.35</v>
      </c>
      <c r="J102">
        <v>0.15</v>
      </c>
      <c r="N102">
        <v>34</v>
      </c>
      <c r="V102" s="10">
        <v>0.2079293628808864</v>
      </c>
      <c r="W102" s="10">
        <f>Tabelle1[[#This Row],[WWR-total]]*4*WWR!$G$2</f>
        <v>9.6522916666624076E-2</v>
      </c>
      <c r="X102" s="10">
        <f>Tabelle1[[#This Row],[WWR-total]]*4*WWR!$H$2</f>
        <v>0.22945934590365613</v>
      </c>
      <c r="Y102" s="10">
        <f>Tabelle1[[#This Row],[WWR-total]]*4*WWR!$I$2</f>
        <v>0.27627584304960912</v>
      </c>
      <c r="Z102" s="10">
        <f>Tabelle1[[#This Row],[WWR-total]]*4*WWR!$J$2</f>
        <v>0.22945934590365613</v>
      </c>
      <c r="AA102" t="s">
        <v>133</v>
      </c>
      <c r="AB102">
        <v>1.5</v>
      </c>
    </row>
    <row r="103" spans="1:28" x14ac:dyDescent="0.3">
      <c r="A103" t="s">
        <v>217</v>
      </c>
      <c r="B103" t="s">
        <v>103</v>
      </c>
      <c r="C103" t="s">
        <v>207</v>
      </c>
      <c r="D103" t="s">
        <v>109</v>
      </c>
      <c r="E103">
        <v>0.36</v>
      </c>
      <c r="F103">
        <v>1.76</v>
      </c>
      <c r="G103" t="s">
        <v>285</v>
      </c>
      <c r="H103">
        <v>0.65</v>
      </c>
      <c r="I103">
        <v>1.4</v>
      </c>
      <c r="J103">
        <v>1.83</v>
      </c>
      <c r="L103" t="s">
        <v>298</v>
      </c>
      <c r="M103" t="s">
        <v>243</v>
      </c>
      <c r="N103">
        <v>128</v>
      </c>
      <c r="O103">
        <v>762.8</v>
      </c>
      <c r="P103">
        <v>186.5</v>
      </c>
      <c r="Q103">
        <v>389.9</v>
      </c>
      <c r="R103" s="4" t="s">
        <v>299</v>
      </c>
      <c r="S103" s="5">
        <f>(Tabelle1[[#This Row],[AW]]+Tabelle1[[#This Row],[F]])/(SQRT(Tabelle1[[#This Row],[Dach/FB/KD]])*4)</f>
        <v>12.018959505688688</v>
      </c>
      <c r="T103">
        <v>1169</v>
      </c>
      <c r="U103" s="5">
        <f>(SUM(Tabelle1[[#This Row],[AW]:[F]])+2*Tabelle1[[#This Row],[Dach/FB/KD]])/(Tabelle1[[#This Row],[Dach/FB/KD]]*Tabelle1[[#This Row],[Höhe]])</f>
        <v>0.36897760167510696</v>
      </c>
      <c r="V103" s="20">
        <f>Tabelle1[[#This Row],[F]]/SUM(Tabelle1[[#This Row],[AW]:[F]])</f>
        <v>0.19646054987885811</v>
      </c>
      <c r="W103" s="10">
        <f>Tabelle1[[#This Row],[WWR-total]]*4*WWR!$G$2</f>
        <v>9.1198977486884353E-2</v>
      </c>
      <c r="X103" s="10">
        <f>Tabelle1[[#This Row],[WWR-total]]*4*WWR!$H$2</f>
        <v>0.21680299812633763</v>
      </c>
      <c r="Y103" s="10">
        <f>Tabelle1[[#This Row],[WWR-total]]*4*WWR!$I$2</f>
        <v>0.26103722577587268</v>
      </c>
      <c r="Z103" s="10">
        <f>Tabelle1[[#This Row],[WWR-total]]*4*WWR!$J$2</f>
        <v>0.21680299812633763</v>
      </c>
      <c r="AA103" t="s">
        <v>133</v>
      </c>
      <c r="AB103">
        <v>4.5</v>
      </c>
    </row>
    <row r="104" spans="1:28" x14ac:dyDescent="0.3">
      <c r="A104" t="s">
        <v>218</v>
      </c>
      <c r="B104" t="s">
        <v>103</v>
      </c>
      <c r="C104" t="s">
        <v>207</v>
      </c>
      <c r="D104" t="s">
        <v>126</v>
      </c>
      <c r="E104">
        <v>0.36</v>
      </c>
      <c r="F104">
        <v>1.1000000000000001</v>
      </c>
      <c r="H104">
        <v>0.6</v>
      </c>
      <c r="I104">
        <v>0.4</v>
      </c>
      <c r="J104">
        <v>0.2</v>
      </c>
      <c r="N104">
        <v>48</v>
      </c>
      <c r="V104" s="10">
        <v>0.19646054987885811</v>
      </c>
      <c r="W104" s="10">
        <f>Tabelle1[[#This Row],[WWR-total]]*4*WWR!$G$2</f>
        <v>9.1198977486884353E-2</v>
      </c>
      <c r="X104" s="10">
        <f>Tabelle1[[#This Row],[WWR-total]]*4*WWR!$H$2</f>
        <v>0.21680299812633763</v>
      </c>
      <c r="Y104" s="10">
        <f>Tabelle1[[#This Row],[WWR-total]]*4*WWR!$I$2</f>
        <v>0.26103722577587268</v>
      </c>
      <c r="Z104" s="10">
        <f>Tabelle1[[#This Row],[WWR-total]]*4*WWR!$J$2</f>
        <v>0.21680299812633763</v>
      </c>
      <c r="AA104" t="s">
        <v>133</v>
      </c>
      <c r="AB104">
        <v>3</v>
      </c>
    </row>
    <row r="105" spans="1:28" x14ac:dyDescent="0.3">
      <c r="A105" t="s">
        <v>219</v>
      </c>
      <c r="B105" t="s">
        <v>103</v>
      </c>
      <c r="C105" t="s">
        <v>207</v>
      </c>
      <c r="D105" t="s">
        <v>128</v>
      </c>
      <c r="E105">
        <v>0.35</v>
      </c>
      <c r="F105">
        <v>0.9</v>
      </c>
      <c r="H105">
        <v>0.5</v>
      </c>
      <c r="I105">
        <v>0.35</v>
      </c>
      <c r="J105">
        <v>0.15</v>
      </c>
      <c r="N105">
        <v>39</v>
      </c>
      <c r="V105" s="10">
        <v>0.19646054987885811</v>
      </c>
      <c r="W105" s="10">
        <f>Tabelle1[[#This Row],[WWR-total]]*4*WWR!$G$2</f>
        <v>9.1198977486884353E-2</v>
      </c>
      <c r="X105" s="10">
        <f>Tabelle1[[#This Row],[WWR-total]]*4*WWR!$H$2</f>
        <v>0.21680299812633763</v>
      </c>
      <c r="Y105" s="10">
        <f>Tabelle1[[#This Row],[WWR-total]]*4*WWR!$I$2</f>
        <v>0.26103722577587268</v>
      </c>
      <c r="Z105" s="10">
        <f>Tabelle1[[#This Row],[WWR-total]]*4*WWR!$J$2</f>
        <v>0.21680299812633763</v>
      </c>
      <c r="AA105" t="s">
        <v>177</v>
      </c>
      <c r="AB105">
        <v>1.5</v>
      </c>
    </row>
    <row r="106" spans="1:28" x14ac:dyDescent="0.3">
      <c r="A106" t="s">
        <v>220</v>
      </c>
      <c r="B106" t="s">
        <v>104</v>
      </c>
      <c r="C106" t="s">
        <v>207</v>
      </c>
      <c r="D106" t="s">
        <v>109</v>
      </c>
      <c r="E106">
        <v>0.67</v>
      </c>
      <c r="F106">
        <v>1.95</v>
      </c>
      <c r="G106" t="s">
        <v>285</v>
      </c>
      <c r="H106">
        <v>0.65</v>
      </c>
      <c r="I106">
        <v>0.36</v>
      </c>
      <c r="J106">
        <v>0.4</v>
      </c>
      <c r="L106" t="s">
        <v>249</v>
      </c>
      <c r="M106" t="s">
        <v>243</v>
      </c>
      <c r="N106">
        <v>67</v>
      </c>
      <c r="O106">
        <v>887.4</v>
      </c>
      <c r="P106">
        <v>181.4</v>
      </c>
      <c r="Q106">
        <v>428.3</v>
      </c>
      <c r="R106" s="4" t="s">
        <v>300</v>
      </c>
      <c r="S106" s="5">
        <f>(Tabelle1[[#This Row],[AW]]+Tabelle1[[#This Row],[F]])/(SQRT(Tabelle1[[#This Row],[Dach/FB/KD]])*4)</f>
        <v>12.911075376694059</v>
      </c>
      <c r="T106">
        <v>1572</v>
      </c>
      <c r="U106" s="5">
        <f>(SUM(Tabelle1[[#This Row],[AW]:[F]])+2*Tabelle1[[#This Row],[Dach/FB/KD]])/(Tabelle1[[#This Row],[Dach/FB/KD]]*Tabelle1[[#This Row],[Höhe]])</f>
        <v>0.34818533587232464</v>
      </c>
      <c r="V106" s="20">
        <f>Tabelle1[[#This Row],[F]]/SUM(Tabelle1[[#This Row],[AW]:[F]])</f>
        <v>0.16972305389221559</v>
      </c>
      <c r="W106" s="10">
        <f>Tabelle1[[#This Row],[WWR-total]]*4*WWR!$G$2</f>
        <v>7.8787160987108376E-2</v>
      </c>
      <c r="X106" s="10">
        <f>Tabelle1[[#This Row],[WWR-total]]*4*WWR!$H$2</f>
        <v>0.18729697620046279</v>
      </c>
      <c r="Y106" s="10">
        <f>Tabelle1[[#This Row],[WWR-total]]*4*WWR!$I$2</f>
        <v>0.22551110218082832</v>
      </c>
      <c r="Z106" s="10">
        <f>Tabelle1[[#This Row],[WWR-total]]*4*WWR!$J$2</f>
        <v>0.18729697620046279</v>
      </c>
      <c r="AA106" t="s">
        <v>177</v>
      </c>
      <c r="AB106">
        <v>4.5</v>
      </c>
    </row>
    <row r="107" spans="1:28" x14ac:dyDescent="0.3">
      <c r="A107" t="s">
        <v>221</v>
      </c>
      <c r="B107" t="s">
        <v>104</v>
      </c>
      <c r="C107" t="s">
        <v>207</v>
      </c>
      <c r="D107" t="s">
        <v>126</v>
      </c>
      <c r="E107">
        <v>0.35</v>
      </c>
      <c r="F107">
        <v>1.1000000000000001</v>
      </c>
      <c r="H107">
        <v>0.6</v>
      </c>
      <c r="I107">
        <v>0.36</v>
      </c>
      <c r="J107">
        <v>0.4</v>
      </c>
      <c r="N107">
        <v>43</v>
      </c>
      <c r="V107" s="10">
        <v>0.16972305389221559</v>
      </c>
      <c r="W107" s="10">
        <f>Tabelle1[[#This Row],[WWR-total]]*4*WWR!$G$2</f>
        <v>7.8787160987108376E-2</v>
      </c>
      <c r="X107" s="10">
        <f>Tabelle1[[#This Row],[WWR-total]]*4*WWR!$H$2</f>
        <v>0.18729697620046279</v>
      </c>
      <c r="Y107" s="10">
        <f>Tabelle1[[#This Row],[WWR-total]]*4*WWR!$I$2</f>
        <v>0.22551110218082832</v>
      </c>
      <c r="Z107" s="10">
        <f>Tabelle1[[#This Row],[WWR-total]]*4*WWR!$J$2</f>
        <v>0.18729697620046279</v>
      </c>
      <c r="AA107" t="s">
        <v>177</v>
      </c>
      <c r="AB107">
        <v>3</v>
      </c>
    </row>
    <row r="108" spans="1:28" x14ac:dyDescent="0.3">
      <c r="A108" t="s">
        <v>222</v>
      </c>
      <c r="B108" t="s">
        <v>104</v>
      </c>
      <c r="C108" t="s">
        <v>207</v>
      </c>
      <c r="D108" t="s">
        <v>128</v>
      </c>
      <c r="E108">
        <v>0.2</v>
      </c>
      <c r="F108">
        <v>0.9</v>
      </c>
      <c r="H108">
        <v>0.5</v>
      </c>
      <c r="I108">
        <v>0.36</v>
      </c>
      <c r="J108">
        <v>0.4</v>
      </c>
      <c r="N108">
        <v>34</v>
      </c>
      <c r="V108" s="10">
        <v>0.16972305389221559</v>
      </c>
      <c r="W108" s="10">
        <f>Tabelle1[[#This Row],[WWR-total]]*4*WWR!$G$2</f>
        <v>7.8787160987108376E-2</v>
      </c>
      <c r="X108" s="10">
        <f>Tabelle1[[#This Row],[WWR-total]]*4*WWR!$H$2</f>
        <v>0.18729697620046279</v>
      </c>
      <c r="Y108" s="10">
        <f>Tabelle1[[#This Row],[WWR-total]]*4*WWR!$I$2</f>
        <v>0.22551110218082832</v>
      </c>
      <c r="Z108" s="10">
        <f>Tabelle1[[#This Row],[WWR-total]]*4*WWR!$J$2</f>
        <v>0.18729697620046279</v>
      </c>
      <c r="AA108" t="s">
        <v>177</v>
      </c>
      <c r="AB108">
        <v>1.5</v>
      </c>
    </row>
    <row r="109" spans="1:28" x14ac:dyDescent="0.3">
      <c r="A109" t="s">
        <v>223</v>
      </c>
      <c r="B109" t="s">
        <v>105</v>
      </c>
      <c r="C109" t="s">
        <v>207</v>
      </c>
      <c r="D109" t="s">
        <v>109</v>
      </c>
      <c r="E109">
        <v>0.73</v>
      </c>
      <c r="F109">
        <v>1.66</v>
      </c>
      <c r="G109" t="s">
        <v>275</v>
      </c>
      <c r="H109">
        <v>0.65</v>
      </c>
      <c r="I109">
        <v>0.39</v>
      </c>
      <c r="J109">
        <v>0.3</v>
      </c>
      <c r="L109" t="s">
        <v>249</v>
      </c>
      <c r="M109" t="s">
        <v>243</v>
      </c>
      <c r="N109">
        <v>76</v>
      </c>
      <c r="O109">
        <v>619.20000000000005</v>
      </c>
      <c r="P109">
        <v>193.1</v>
      </c>
      <c r="Q109">
        <v>380.8</v>
      </c>
      <c r="R109" s="4" t="s">
        <v>301</v>
      </c>
      <c r="S109" s="5">
        <f>(Tabelle1[[#This Row],[AW]]+Tabelle1[[#This Row],[F]])/(SQRT(Tabelle1[[#This Row],[Dach/FB/KD]])*4)</f>
        <v>10.406579157991047</v>
      </c>
      <c r="T109">
        <v>1137</v>
      </c>
      <c r="U109" s="5">
        <f>(SUM(Tabelle1[[#This Row],[AW]:[F]])+2*Tabelle1[[#This Row],[Dach/FB/KD]])/(Tabelle1[[#This Row],[Dach/FB/KD]]*Tabelle1[[#This Row],[Höhe]])</f>
        <v>0.39716612861477618</v>
      </c>
      <c r="V109" s="20">
        <f>Tabelle1[[#This Row],[F]]/SUM(Tabelle1[[#This Row],[AW]:[F]])</f>
        <v>0.23772005416717959</v>
      </c>
      <c r="W109" s="10">
        <f>Tabelle1[[#This Row],[WWR-total]]*4*WWR!$G$2</f>
        <v>0.11035205735472998</v>
      </c>
      <c r="X109" s="10">
        <f>Tabelle1[[#This Row],[WWR-total]]*4*WWR!$H$2</f>
        <v>0.26233470531350767</v>
      </c>
      <c r="Y109" s="10">
        <f>Tabelle1[[#This Row],[WWR-total]]*4*WWR!$I$2</f>
        <v>0.31585874868697289</v>
      </c>
      <c r="Z109" s="10">
        <f>Tabelle1[[#This Row],[WWR-total]]*4*WWR!$J$2</f>
        <v>0.26233470531350767</v>
      </c>
      <c r="AA109" t="s">
        <v>177</v>
      </c>
      <c r="AB109">
        <v>3</v>
      </c>
    </row>
    <row r="110" spans="1:28" x14ac:dyDescent="0.3">
      <c r="A110" t="s">
        <v>224</v>
      </c>
      <c r="B110" t="s">
        <v>105</v>
      </c>
      <c r="C110" t="s">
        <v>207</v>
      </c>
      <c r="D110" t="s">
        <v>126</v>
      </c>
      <c r="E110">
        <v>0.2</v>
      </c>
      <c r="F110">
        <v>1.66</v>
      </c>
      <c r="H110">
        <v>0.6</v>
      </c>
      <c r="I110">
        <v>0.39</v>
      </c>
      <c r="J110">
        <v>0.3</v>
      </c>
      <c r="N110">
        <v>49</v>
      </c>
      <c r="V110" s="10">
        <v>0.23772005416717959</v>
      </c>
      <c r="W110" s="10">
        <f>Tabelle1[[#This Row],[WWR-total]]*4*WWR!$G$2</f>
        <v>0.11035205735472998</v>
      </c>
      <c r="X110" s="10">
        <f>Tabelle1[[#This Row],[WWR-total]]*4*WWR!$H$2</f>
        <v>0.26233470531350767</v>
      </c>
      <c r="Y110" s="10">
        <f>Tabelle1[[#This Row],[WWR-total]]*4*WWR!$I$2</f>
        <v>0.31585874868697289</v>
      </c>
      <c r="Z110" s="10">
        <f>Tabelle1[[#This Row],[WWR-total]]*4*WWR!$J$2</f>
        <v>0.26233470531350767</v>
      </c>
      <c r="AA110" t="s">
        <v>177</v>
      </c>
      <c r="AB110">
        <v>3</v>
      </c>
    </row>
    <row r="111" spans="1:28" x14ac:dyDescent="0.3">
      <c r="A111" t="s">
        <v>225</v>
      </c>
      <c r="B111" t="s">
        <v>105</v>
      </c>
      <c r="C111" t="s">
        <v>207</v>
      </c>
      <c r="D111" t="s">
        <v>128</v>
      </c>
      <c r="E111">
        <v>0.2</v>
      </c>
      <c r="F111">
        <v>0.9</v>
      </c>
      <c r="H111">
        <v>0.5</v>
      </c>
      <c r="I111">
        <v>0.39</v>
      </c>
      <c r="J111">
        <v>0.15</v>
      </c>
      <c r="N111">
        <v>33</v>
      </c>
      <c r="V111" s="10">
        <v>0.23772005416717959</v>
      </c>
      <c r="W111" s="10">
        <f>Tabelle1[[#This Row],[WWR-total]]*4*WWR!$G$2</f>
        <v>0.11035205735472998</v>
      </c>
      <c r="X111" s="10">
        <f>Tabelle1[[#This Row],[WWR-total]]*4*WWR!$H$2</f>
        <v>0.26233470531350767</v>
      </c>
      <c r="Y111" s="10">
        <f>Tabelle1[[#This Row],[WWR-total]]*4*WWR!$I$2</f>
        <v>0.31585874868697289</v>
      </c>
      <c r="Z111" s="10">
        <f>Tabelle1[[#This Row],[WWR-total]]*4*WWR!$J$2</f>
        <v>0.26233470531350767</v>
      </c>
      <c r="AA111" t="s">
        <v>177</v>
      </c>
      <c r="AB111">
        <v>1.5</v>
      </c>
    </row>
    <row r="112" spans="1:28" x14ac:dyDescent="0.3">
      <c r="A112" t="s">
        <v>226</v>
      </c>
      <c r="B112" t="s">
        <v>150</v>
      </c>
      <c r="C112" t="s">
        <v>207</v>
      </c>
      <c r="D112" t="s">
        <v>109</v>
      </c>
      <c r="E112">
        <v>0.27</v>
      </c>
      <c r="F112">
        <v>1.2</v>
      </c>
      <c r="G112" t="s">
        <v>275</v>
      </c>
      <c r="H112">
        <v>0.6</v>
      </c>
      <c r="I112">
        <v>0.4</v>
      </c>
      <c r="J112">
        <v>0.2</v>
      </c>
      <c r="L112" t="s">
        <v>259</v>
      </c>
      <c r="M112" t="s">
        <v>233</v>
      </c>
      <c r="N112">
        <v>76</v>
      </c>
      <c r="O112">
        <v>798.3</v>
      </c>
      <c r="P112">
        <v>193.1</v>
      </c>
      <c r="Q112">
        <v>291.8</v>
      </c>
      <c r="R112" s="4" t="s">
        <v>302</v>
      </c>
      <c r="S112" s="5">
        <f>(Tabelle1[[#This Row],[AW]]+Tabelle1[[#This Row],[F]])/(SQRT(Tabelle1[[#This Row],[Dach/FB/KD]])*4)</f>
        <v>14.509293953702759</v>
      </c>
      <c r="T112">
        <v>1019</v>
      </c>
      <c r="U112" s="5">
        <f>(SUM(Tabelle1[[#This Row],[AW]:[F]])+2*Tabelle1[[#This Row],[Dach/FB/KD]])/(Tabelle1[[#This Row],[Dach/FB/KD]]*Tabelle1[[#This Row],[Höhe]])</f>
        <v>0.37200518328241144</v>
      </c>
      <c r="V112" s="20">
        <f>Tabelle1[[#This Row],[F]]/SUM(Tabelle1[[#This Row],[AW]:[F]])</f>
        <v>0.1947750655638491</v>
      </c>
      <c r="W112" s="10">
        <f>Tabelle1[[#This Row],[WWR-total]]*4*WWR!$G$2</f>
        <v>9.0416558593148247E-2</v>
      </c>
      <c r="X112" s="10">
        <f>Tabelle1[[#This Row],[WWR-total]]*4*WWR!$H$2</f>
        <v>0.21494299084745039</v>
      </c>
      <c r="Y112" s="10">
        <f>Tabelle1[[#This Row],[WWR-total]]*4*WWR!$I$2</f>
        <v>0.25879772196734729</v>
      </c>
      <c r="Z112" s="10">
        <f>Tabelle1[[#This Row],[WWR-total]]*4*WWR!$J$2</f>
        <v>0.21494299084745039</v>
      </c>
      <c r="AA112" t="s">
        <v>177</v>
      </c>
      <c r="AB112">
        <v>3</v>
      </c>
    </row>
    <row r="113" spans="1:28" x14ac:dyDescent="0.3">
      <c r="A113" t="s">
        <v>227</v>
      </c>
      <c r="B113" t="s">
        <v>152</v>
      </c>
      <c r="C113" t="s">
        <v>207</v>
      </c>
      <c r="D113" t="s">
        <v>109</v>
      </c>
      <c r="E113">
        <v>0.1</v>
      </c>
      <c r="F113">
        <v>0.7</v>
      </c>
      <c r="G113" t="s">
        <v>292</v>
      </c>
      <c r="H113">
        <v>0.5</v>
      </c>
      <c r="I113">
        <v>0.15</v>
      </c>
      <c r="J113">
        <v>0.1</v>
      </c>
      <c r="L113" t="s">
        <v>270</v>
      </c>
      <c r="M113" t="s">
        <v>233</v>
      </c>
      <c r="N113">
        <v>20</v>
      </c>
      <c r="O113">
        <v>798.3</v>
      </c>
      <c r="P113">
        <v>193.1</v>
      </c>
      <c r="Q113">
        <v>291.8</v>
      </c>
      <c r="R113" s="4" t="s">
        <v>302</v>
      </c>
      <c r="S113" s="5">
        <f>(Tabelle1[[#This Row],[AW]]+Tabelle1[[#This Row],[F]])/(SQRT(Tabelle1[[#This Row],[Dach/FB/KD]])*4)</f>
        <v>14.509293953702759</v>
      </c>
      <c r="T113">
        <v>1019</v>
      </c>
      <c r="U113" s="5">
        <f>(SUM(Tabelle1[[#This Row],[AW]:[F]])+2*Tabelle1[[#This Row],[Dach/FB/KD]])/(Tabelle1[[#This Row],[Dach/FB/KD]]*Tabelle1[[#This Row],[Höhe]])</f>
        <v>0.37200518328241144</v>
      </c>
      <c r="V113" s="20">
        <f>Tabelle1[[#This Row],[F]]/SUM(Tabelle1[[#This Row],[AW]:[F]])</f>
        <v>0.1947750655638491</v>
      </c>
      <c r="W113" s="10">
        <f>Tabelle1[[#This Row],[WWR-total]]*4*WWR!$G$2</f>
        <v>9.0416558593148247E-2</v>
      </c>
      <c r="X113" s="10">
        <f>Tabelle1[[#This Row],[WWR-total]]*4*WWR!$H$2</f>
        <v>0.21494299084745039</v>
      </c>
      <c r="Y113" s="10">
        <f>Tabelle1[[#This Row],[WWR-total]]*4*WWR!$I$2</f>
        <v>0.25879772196734729</v>
      </c>
      <c r="Z113" s="10">
        <f>Tabelle1[[#This Row],[WWR-total]]*4*WWR!$J$2</f>
        <v>0.21494299084745039</v>
      </c>
      <c r="AA113" t="s">
        <v>177</v>
      </c>
      <c r="AB113">
        <v>1.5</v>
      </c>
    </row>
    <row r="114" spans="1:28" x14ac:dyDescent="0.3">
      <c r="A114" t="s">
        <v>319</v>
      </c>
      <c r="B114" t="s">
        <v>305</v>
      </c>
      <c r="C114" t="s">
        <v>304</v>
      </c>
      <c r="E114">
        <v>0.7</v>
      </c>
      <c r="F114">
        <v>3.2</v>
      </c>
      <c r="I114">
        <v>1.2</v>
      </c>
      <c r="J114">
        <v>1.1000000000000001</v>
      </c>
      <c r="K114" t="s">
        <v>316</v>
      </c>
      <c r="V114" s="19"/>
    </row>
    <row r="115" spans="1:28" x14ac:dyDescent="0.3">
      <c r="A115" t="s">
        <v>319</v>
      </c>
      <c r="B115" t="s">
        <v>306</v>
      </c>
      <c r="C115" t="s">
        <v>304</v>
      </c>
      <c r="E115">
        <v>0.63</v>
      </c>
      <c r="F115">
        <v>3.4</v>
      </c>
      <c r="I115">
        <v>1.5</v>
      </c>
      <c r="J115">
        <v>0.7</v>
      </c>
      <c r="K115" t="s">
        <v>316</v>
      </c>
      <c r="V115" s="19"/>
    </row>
    <row r="116" spans="1:28" x14ac:dyDescent="0.3">
      <c r="A116" t="s">
        <v>319</v>
      </c>
      <c r="B116" t="s">
        <v>307</v>
      </c>
      <c r="C116" t="s">
        <v>304</v>
      </c>
      <c r="E116">
        <v>0.67</v>
      </c>
      <c r="F116">
        <v>2.4</v>
      </c>
      <c r="I116">
        <v>1</v>
      </c>
      <c r="J116">
        <v>0.6</v>
      </c>
      <c r="K116" t="s">
        <v>316</v>
      </c>
    </row>
    <row r="117" spans="1:28" x14ac:dyDescent="0.3">
      <c r="A117" t="s">
        <v>319</v>
      </c>
      <c r="B117" t="s">
        <v>308</v>
      </c>
      <c r="C117" t="s">
        <v>304</v>
      </c>
      <c r="E117">
        <v>0.56999999999999995</v>
      </c>
      <c r="F117">
        <v>2.1</v>
      </c>
      <c r="I117">
        <v>0.6</v>
      </c>
      <c r="J117">
        <v>0.4</v>
      </c>
      <c r="K117" t="s">
        <v>316</v>
      </c>
    </row>
    <row r="118" spans="1:28" x14ac:dyDescent="0.3">
      <c r="A118" t="s">
        <v>319</v>
      </c>
      <c r="B118" t="s">
        <v>309</v>
      </c>
      <c r="C118" t="s">
        <v>304</v>
      </c>
      <c r="E118">
        <v>0.48</v>
      </c>
      <c r="F118">
        <v>1.4</v>
      </c>
      <c r="I118">
        <v>0.5</v>
      </c>
      <c r="J118">
        <v>0.3</v>
      </c>
      <c r="K118" t="s">
        <v>316</v>
      </c>
    </row>
    <row r="119" spans="1:28" x14ac:dyDescent="0.3">
      <c r="A119" t="s">
        <v>319</v>
      </c>
      <c r="B119" t="s">
        <v>310</v>
      </c>
      <c r="C119" t="s">
        <v>304</v>
      </c>
      <c r="E119">
        <v>0.32</v>
      </c>
      <c r="F119">
        <v>1.3</v>
      </c>
      <c r="I119">
        <v>0.45</v>
      </c>
      <c r="J119">
        <v>0.2</v>
      </c>
      <c r="K119" t="s">
        <v>316</v>
      </c>
    </row>
    <row r="120" spans="1:28" x14ac:dyDescent="0.3">
      <c r="A120" t="s">
        <v>319</v>
      </c>
      <c r="B120" t="s">
        <v>311</v>
      </c>
      <c r="C120" t="s">
        <v>304</v>
      </c>
      <c r="E120">
        <v>0.35</v>
      </c>
      <c r="F120">
        <v>1.4</v>
      </c>
      <c r="I120">
        <v>0.4</v>
      </c>
      <c r="J120">
        <v>0.1</v>
      </c>
      <c r="K120" t="s">
        <v>316</v>
      </c>
    </row>
    <row r="121" spans="1:28" x14ac:dyDescent="0.3">
      <c r="A121" t="s">
        <v>319</v>
      </c>
      <c r="B121" t="s">
        <v>305</v>
      </c>
      <c r="C121" t="s">
        <v>312</v>
      </c>
      <c r="E121">
        <v>0.7</v>
      </c>
      <c r="F121">
        <v>3.2</v>
      </c>
      <c r="I121">
        <v>1.2</v>
      </c>
      <c r="J121">
        <v>1.1000000000000001</v>
      </c>
      <c r="K121" t="s">
        <v>316</v>
      </c>
    </row>
    <row r="122" spans="1:28" x14ac:dyDescent="0.3">
      <c r="A122" t="s">
        <v>319</v>
      </c>
      <c r="B122" t="s">
        <v>306</v>
      </c>
      <c r="C122" t="s">
        <v>312</v>
      </c>
      <c r="E122">
        <v>0.63</v>
      </c>
      <c r="F122">
        <v>3.4</v>
      </c>
      <c r="I122">
        <v>1.5</v>
      </c>
      <c r="J122">
        <v>0.7</v>
      </c>
      <c r="K122" t="s">
        <v>316</v>
      </c>
    </row>
    <row r="123" spans="1:28" x14ac:dyDescent="0.3">
      <c r="A123" t="s">
        <v>319</v>
      </c>
      <c r="B123" t="s">
        <v>307</v>
      </c>
      <c r="C123" t="s">
        <v>312</v>
      </c>
      <c r="E123">
        <v>0.67</v>
      </c>
      <c r="F123">
        <v>2.4</v>
      </c>
      <c r="I123">
        <v>1</v>
      </c>
      <c r="J123">
        <v>0.6</v>
      </c>
      <c r="K123" t="s">
        <v>316</v>
      </c>
    </row>
    <row r="124" spans="1:28" x14ac:dyDescent="0.3">
      <c r="A124" t="s">
        <v>319</v>
      </c>
      <c r="B124" t="s">
        <v>308</v>
      </c>
      <c r="C124" t="s">
        <v>312</v>
      </c>
      <c r="E124">
        <v>0.56999999999999995</v>
      </c>
      <c r="F124">
        <v>2.1</v>
      </c>
      <c r="I124">
        <v>0.6</v>
      </c>
      <c r="J124">
        <v>0.4</v>
      </c>
      <c r="K124" t="s">
        <v>316</v>
      </c>
    </row>
    <row r="125" spans="1:28" x14ac:dyDescent="0.3">
      <c r="A125" t="s">
        <v>319</v>
      </c>
      <c r="B125" t="s">
        <v>309</v>
      </c>
      <c r="C125" t="s">
        <v>312</v>
      </c>
      <c r="E125">
        <v>0.48</v>
      </c>
      <c r="F125">
        <v>1.4</v>
      </c>
      <c r="I125">
        <v>0.5</v>
      </c>
      <c r="J125">
        <v>0.3</v>
      </c>
      <c r="K125" t="s">
        <v>316</v>
      </c>
    </row>
    <row r="126" spans="1:28" x14ac:dyDescent="0.3">
      <c r="A126" t="s">
        <v>319</v>
      </c>
      <c r="B126" t="s">
        <v>310</v>
      </c>
      <c r="C126" t="s">
        <v>312</v>
      </c>
      <c r="E126">
        <v>0.32</v>
      </c>
      <c r="F126">
        <v>1.3</v>
      </c>
      <c r="I126">
        <v>0.45</v>
      </c>
      <c r="J126">
        <v>0.2</v>
      </c>
      <c r="K126" t="s">
        <v>316</v>
      </c>
    </row>
    <row r="127" spans="1:28" x14ac:dyDescent="0.3">
      <c r="A127" t="s">
        <v>319</v>
      </c>
      <c r="B127" t="s">
        <v>311</v>
      </c>
      <c r="C127" t="s">
        <v>312</v>
      </c>
      <c r="E127">
        <v>0.35</v>
      </c>
      <c r="F127">
        <v>1.4</v>
      </c>
      <c r="I127">
        <v>0.4</v>
      </c>
      <c r="J127">
        <v>0.1</v>
      </c>
      <c r="K127" t="s">
        <v>316</v>
      </c>
    </row>
    <row r="128" spans="1:28" x14ac:dyDescent="0.3">
      <c r="A128" t="s">
        <v>319</v>
      </c>
      <c r="B128" t="s">
        <v>305</v>
      </c>
      <c r="C128" t="s">
        <v>313</v>
      </c>
      <c r="E128">
        <v>0.7</v>
      </c>
      <c r="F128">
        <v>3.2</v>
      </c>
      <c r="I128">
        <v>1.2</v>
      </c>
      <c r="J128">
        <v>1.1000000000000001</v>
      </c>
      <c r="K128" t="s">
        <v>316</v>
      </c>
    </row>
    <row r="129" spans="1:11" x14ac:dyDescent="0.3">
      <c r="A129" t="s">
        <v>319</v>
      </c>
      <c r="B129" t="s">
        <v>306</v>
      </c>
      <c r="C129" t="s">
        <v>313</v>
      </c>
      <c r="E129">
        <v>0.63</v>
      </c>
      <c r="F129">
        <v>3.4</v>
      </c>
      <c r="I129">
        <v>1.5</v>
      </c>
      <c r="J129">
        <v>0.7</v>
      </c>
      <c r="K129" t="s">
        <v>316</v>
      </c>
    </row>
    <row r="130" spans="1:11" x14ac:dyDescent="0.3">
      <c r="A130" t="s">
        <v>319</v>
      </c>
      <c r="B130" t="s">
        <v>307</v>
      </c>
      <c r="C130" t="s">
        <v>313</v>
      </c>
      <c r="E130">
        <v>0.67</v>
      </c>
      <c r="F130">
        <v>2.4</v>
      </c>
      <c r="I130">
        <v>1</v>
      </c>
      <c r="J130">
        <v>0.6</v>
      </c>
      <c r="K130" t="s">
        <v>316</v>
      </c>
    </row>
    <row r="131" spans="1:11" x14ac:dyDescent="0.3">
      <c r="A131" t="s">
        <v>319</v>
      </c>
      <c r="B131" t="s">
        <v>308</v>
      </c>
      <c r="C131" t="s">
        <v>313</v>
      </c>
      <c r="E131">
        <v>0.56999999999999995</v>
      </c>
      <c r="F131">
        <v>2.1</v>
      </c>
      <c r="I131">
        <v>0.6</v>
      </c>
      <c r="J131">
        <v>0.4</v>
      </c>
      <c r="K131" t="s">
        <v>316</v>
      </c>
    </row>
    <row r="132" spans="1:11" x14ac:dyDescent="0.3">
      <c r="A132" t="s">
        <v>319</v>
      </c>
      <c r="B132" t="s">
        <v>309</v>
      </c>
      <c r="C132" t="s">
        <v>313</v>
      </c>
      <c r="E132">
        <v>0.48</v>
      </c>
      <c r="F132">
        <v>1.4</v>
      </c>
      <c r="I132">
        <v>0.5</v>
      </c>
      <c r="J132">
        <v>0.3</v>
      </c>
      <c r="K132" t="s">
        <v>316</v>
      </c>
    </row>
    <row r="133" spans="1:11" x14ac:dyDescent="0.3">
      <c r="A133" t="s">
        <v>319</v>
      </c>
      <c r="B133" t="s">
        <v>310</v>
      </c>
      <c r="C133" t="s">
        <v>313</v>
      </c>
      <c r="E133">
        <v>0.32</v>
      </c>
      <c r="F133">
        <v>1.3</v>
      </c>
      <c r="I133">
        <v>0.45</v>
      </c>
      <c r="J133">
        <v>0.2</v>
      </c>
      <c r="K133" t="s">
        <v>316</v>
      </c>
    </row>
    <row r="134" spans="1:11" x14ac:dyDescent="0.3">
      <c r="A134" t="s">
        <v>319</v>
      </c>
      <c r="B134" t="s">
        <v>311</v>
      </c>
      <c r="C134" t="s">
        <v>313</v>
      </c>
      <c r="E134">
        <v>0.35</v>
      </c>
      <c r="F134">
        <v>1.4</v>
      </c>
      <c r="I134">
        <v>0.4</v>
      </c>
      <c r="J134">
        <v>0.1</v>
      </c>
      <c r="K134" t="s">
        <v>316</v>
      </c>
    </row>
    <row r="135" spans="1:11" x14ac:dyDescent="0.3">
      <c r="A135" t="s">
        <v>319</v>
      </c>
      <c r="B135" t="s">
        <v>305</v>
      </c>
      <c r="C135" t="s">
        <v>314</v>
      </c>
      <c r="E135">
        <v>0.7</v>
      </c>
      <c r="F135">
        <v>3.2</v>
      </c>
      <c r="I135">
        <v>1.2</v>
      </c>
      <c r="J135">
        <v>1.1000000000000001</v>
      </c>
      <c r="K135" t="s">
        <v>316</v>
      </c>
    </row>
    <row r="136" spans="1:11" x14ac:dyDescent="0.3">
      <c r="A136" t="s">
        <v>319</v>
      </c>
      <c r="B136" t="s">
        <v>306</v>
      </c>
      <c r="C136" t="s">
        <v>314</v>
      </c>
      <c r="E136">
        <v>0.63</v>
      </c>
      <c r="F136">
        <v>3.4</v>
      </c>
      <c r="I136">
        <v>1.5</v>
      </c>
      <c r="J136">
        <v>0.7</v>
      </c>
      <c r="K136" t="s">
        <v>316</v>
      </c>
    </row>
    <row r="137" spans="1:11" x14ac:dyDescent="0.3">
      <c r="A137" t="s">
        <v>319</v>
      </c>
      <c r="B137" t="s">
        <v>307</v>
      </c>
      <c r="C137" t="s">
        <v>314</v>
      </c>
      <c r="E137">
        <v>0.67</v>
      </c>
      <c r="F137">
        <v>2.4</v>
      </c>
      <c r="I137">
        <v>1</v>
      </c>
      <c r="J137">
        <v>0.6</v>
      </c>
      <c r="K137" t="s">
        <v>316</v>
      </c>
    </row>
    <row r="138" spans="1:11" x14ac:dyDescent="0.3">
      <c r="A138" t="s">
        <v>319</v>
      </c>
      <c r="B138" t="s">
        <v>308</v>
      </c>
      <c r="C138" t="s">
        <v>314</v>
      </c>
      <c r="E138">
        <v>0.56999999999999995</v>
      </c>
      <c r="F138">
        <v>2.1</v>
      </c>
      <c r="I138">
        <v>0.6</v>
      </c>
      <c r="J138">
        <v>0.4</v>
      </c>
      <c r="K138" t="s">
        <v>316</v>
      </c>
    </row>
    <row r="139" spans="1:11" x14ac:dyDescent="0.3">
      <c r="A139" t="s">
        <v>319</v>
      </c>
      <c r="B139" t="s">
        <v>309</v>
      </c>
      <c r="C139" t="s">
        <v>314</v>
      </c>
      <c r="E139">
        <v>0.48</v>
      </c>
      <c r="F139">
        <v>1.4</v>
      </c>
      <c r="I139">
        <v>0.5</v>
      </c>
      <c r="J139">
        <v>0.3</v>
      </c>
      <c r="K139" t="s">
        <v>316</v>
      </c>
    </row>
    <row r="140" spans="1:11" x14ac:dyDescent="0.3">
      <c r="A140" t="s">
        <v>319</v>
      </c>
      <c r="B140" t="s">
        <v>310</v>
      </c>
      <c r="C140" t="s">
        <v>314</v>
      </c>
      <c r="E140">
        <v>0.32</v>
      </c>
      <c r="F140">
        <v>1.3</v>
      </c>
      <c r="I140">
        <v>0.45</v>
      </c>
      <c r="J140">
        <v>0.2</v>
      </c>
      <c r="K140" t="s">
        <v>316</v>
      </c>
    </row>
    <row r="141" spans="1:11" x14ac:dyDescent="0.3">
      <c r="A141" t="s">
        <v>319</v>
      </c>
      <c r="B141" t="s">
        <v>311</v>
      </c>
      <c r="C141" t="s">
        <v>314</v>
      </c>
      <c r="E141">
        <v>0.35</v>
      </c>
      <c r="F141">
        <v>1.4</v>
      </c>
      <c r="I141">
        <v>0.4</v>
      </c>
      <c r="J141">
        <v>0.1</v>
      </c>
      <c r="K141" t="s">
        <v>316</v>
      </c>
    </row>
    <row r="142" spans="1:11" x14ac:dyDescent="0.3">
      <c r="A142" t="s">
        <v>319</v>
      </c>
      <c r="B142" t="s">
        <v>305</v>
      </c>
      <c r="C142" t="s">
        <v>315</v>
      </c>
      <c r="E142">
        <v>0.7</v>
      </c>
      <c r="F142">
        <v>3.2</v>
      </c>
      <c r="I142">
        <v>1.2</v>
      </c>
      <c r="J142">
        <v>1.1000000000000001</v>
      </c>
      <c r="K142" t="s">
        <v>316</v>
      </c>
    </row>
    <row r="143" spans="1:11" x14ac:dyDescent="0.3">
      <c r="A143" t="s">
        <v>319</v>
      </c>
      <c r="B143" t="s">
        <v>306</v>
      </c>
      <c r="C143" t="s">
        <v>315</v>
      </c>
      <c r="E143">
        <v>0.63</v>
      </c>
      <c r="F143">
        <v>3.4</v>
      </c>
      <c r="I143">
        <v>1.5</v>
      </c>
      <c r="J143">
        <v>0.7</v>
      </c>
      <c r="K143" t="s">
        <v>316</v>
      </c>
    </row>
    <row r="144" spans="1:11" x14ac:dyDescent="0.3">
      <c r="A144" t="s">
        <v>319</v>
      </c>
      <c r="B144" t="s">
        <v>307</v>
      </c>
      <c r="C144" t="s">
        <v>315</v>
      </c>
      <c r="E144">
        <v>0.67</v>
      </c>
      <c r="F144">
        <v>2.4</v>
      </c>
      <c r="I144">
        <v>1</v>
      </c>
      <c r="J144">
        <v>0.6</v>
      </c>
      <c r="K144" t="s">
        <v>316</v>
      </c>
    </row>
    <row r="145" spans="1:29" x14ac:dyDescent="0.3">
      <c r="A145" t="s">
        <v>319</v>
      </c>
      <c r="B145" t="s">
        <v>308</v>
      </c>
      <c r="C145" t="s">
        <v>315</v>
      </c>
      <c r="E145">
        <v>0.56999999999999995</v>
      </c>
      <c r="F145">
        <v>2.1</v>
      </c>
      <c r="I145">
        <v>0.6</v>
      </c>
      <c r="J145">
        <v>0.4</v>
      </c>
      <c r="K145" t="s">
        <v>316</v>
      </c>
    </row>
    <row r="146" spans="1:29" x14ac:dyDescent="0.3">
      <c r="A146" t="s">
        <v>319</v>
      </c>
      <c r="B146" t="s">
        <v>309</v>
      </c>
      <c r="C146" t="s">
        <v>315</v>
      </c>
      <c r="E146">
        <v>0.48</v>
      </c>
      <c r="F146">
        <v>1.4</v>
      </c>
      <c r="I146">
        <v>0.5</v>
      </c>
      <c r="J146">
        <v>0.3</v>
      </c>
      <c r="K146" t="s">
        <v>316</v>
      </c>
    </row>
    <row r="147" spans="1:29" x14ac:dyDescent="0.3">
      <c r="A147" t="s">
        <v>319</v>
      </c>
      <c r="B147" t="s">
        <v>310</v>
      </c>
      <c r="C147" t="s">
        <v>315</v>
      </c>
      <c r="E147">
        <v>0.32</v>
      </c>
      <c r="F147">
        <v>1.3</v>
      </c>
      <c r="I147">
        <v>0.45</v>
      </c>
      <c r="J147">
        <v>0.2</v>
      </c>
      <c r="K147" t="s">
        <v>316</v>
      </c>
    </row>
    <row r="148" spans="1:29" x14ac:dyDescent="0.3">
      <c r="A148" t="s">
        <v>319</v>
      </c>
      <c r="B148" t="s">
        <v>311</v>
      </c>
      <c r="C148" t="s">
        <v>315</v>
      </c>
      <c r="E148">
        <v>0.35</v>
      </c>
      <c r="F148">
        <v>1.4</v>
      </c>
      <c r="I148">
        <v>0.4</v>
      </c>
      <c r="J148">
        <v>0.1</v>
      </c>
      <c r="K148" t="s">
        <v>316</v>
      </c>
    </row>
    <row r="149" spans="1:29" x14ac:dyDescent="0.3">
      <c r="A149" t="s">
        <v>319</v>
      </c>
      <c r="B149" t="s">
        <v>317</v>
      </c>
      <c r="C149" t="s">
        <v>317</v>
      </c>
      <c r="K149" t="s">
        <v>317</v>
      </c>
    </row>
    <row r="150" spans="1:29" s="6" customFormat="1" x14ac:dyDescent="0.3">
      <c r="A150" s="6" t="s">
        <v>326</v>
      </c>
      <c r="B150" s="6" t="s">
        <v>318</v>
      </c>
      <c r="C150" s="6" t="s">
        <v>319</v>
      </c>
      <c r="D150" s="6" t="s">
        <v>343</v>
      </c>
      <c r="E150" s="6">
        <v>0.27</v>
      </c>
      <c r="F150" s="6">
        <v>1.1399999999999999</v>
      </c>
      <c r="H150" s="6">
        <v>0.5</v>
      </c>
      <c r="I150" s="6">
        <v>0.37</v>
      </c>
      <c r="J150" s="6">
        <v>0.21</v>
      </c>
      <c r="L150" s="6" t="s">
        <v>348</v>
      </c>
      <c r="M150" s="6" t="s">
        <v>339</v>
      </c>
      <c r="Q150" s="9">
        <f>12*14.29</f>
        <v>171.48</v>
      </c>
      <c r="R150" s="9" t="s">
        <v>332</v>
      </c>
      <c r="S150" s="6">
        <v>4</v>
      </c>
      <c r="V150" s="6" t="s">
        <v>342</v>
      </c>
      <c r="AB150" s="6">
        <v>0.6</v>
      </c>
      <c r="AC150" s="6">
        <v>2</v>
      </c>
    </row>
    <row r="151" spans="1:29" s="6" customFormat="1" x14ac:dyDescent="0.3">
      <c r="A151" s="6" t="s">
        <v>327</v>
      </c>
      <c r="B151" s="6" t="s">
        <v>318</v>
      </c>
      <c r="C151" s="6" t="s">
        <v>319</v>
      </c>
      <c r="D151" s="6" t="s">
        <v>343</v>
      </c>
      <c r="E151" s="6">
        <v>0.27</v>
      </c>
      <c r="F151" s="6">
        <v>1.1399999999999999</v>
      </c>
      <c r="H151" s="6">
        <v>0.5</v>
      </c>
      <c r="I151" s="6">
        <v>0.37</v>
      </c>
      <c r="J151" s="6">
        <v>0.21</v>
      </c>
      <c r="L151" s="6" t="s">
        <v>348</v>
      </c>
      <c r="M151" s="6" t="s">
        <v>339</v>
      </c>
      <c r="Q151" s="9">
        <f>8*10.72</f>
        <v>85.76</v>
      </c>
      <c r="R151" s="9" t="s">
        <v>333</v>
      </c>
      <c r="S151" s="6">
        <v>8</v>
      </c>
      <c r="V151" s="6" t="s">
        <v>342</v>
      </c>
      <c r="AB151" s="6">
        <v>0.6</v>
      </c>
      <c r="AC151" s="6">
        <v>1.2</v>
      </c>
    </row>
    <row r="152" spans="1:29" s="6" customFormat="1" x14ac:dyDescent="0.3">
      <c r="A152" s="6" t="s">
        <v>328</v>
      </c>
      <c r="B152" s="6" t="s">
        <v>318</v>
      </c>
      <c r="C152" s="6" t="s">
        <v>319</v>
      </c>
      <c r="D152" s="6" t="s">
        <v>343</v>
      </c>
      <c r="E152" s="6">
        <v>0.24</v>
      </c>
      <c r="F152" s="6">
        <v>1.08</v>
      </c>
      <c r="H152" s="6">
        <v>0.5</v>
      </c>
      <c r="I152" s="6">
        <v>0.34</v>
      </c>
      <c r="J152" s="6">
        <v>0.18</v>
      </c>
      <c r="L152" s="6" t="s">
        <v>348</v>
      </c>
      <c r="M152" s="6" t="s">
        <v>339</v>
      </c>
      <c r="Q152" s="9">
        <f>12*18.55</f>
        <v>222.60000000000002</v>
      </c>
      <c r="R152" s="9" t="s">
        <v>334</v>
      </c>
      <c r="S152" s="6">
        <v>8</v>
      </c>
      <c r="V152" s="6" t="s">
        <v>342</v>
      </c>
      <c r="AB152" s="6">
        <v>0.6</v>
      </c>
      <c r="AC152" s="6">
        <v>1.2</v>
      </c>
    </row>
    <row r="153" spans="1:29" s="6" customFormat="1" x14ac:dyDescent="0.3">
      <c r="A153" s="6" t="s">
        <v>329</v>
      </c>
      <c r="B153" s="6" t="s">
        <v>318</v>
      </c>
      <c r="C153" s="6" t="s">
        <v>319</v>
      </c>
      <c r="D153" s="6" t="s">
        <v>343</v>
      </c>
      <c r="E153" s="6">
        <v>0.27</v>
      </c>
      <c r="F153" s="6">
        <v>1.1399999999999999</v>
      </c>
      <c r="H153" s="6">
        <v>0.5</v>
      </c>
      <c r="I153" s="6">
        <v>0.37</v>
      </c>
      <c r="J153" s="6">
        <v>0.21</v>
      </c>
      <c r="L153" s="6" t="s">
        <v>348</v>
      </c>
      <c r="M153" s="6" t="s">
        <v>339</v>
      </c>
      <c r="Q153" s="9">
        <f>10*14.84</f>
        <v>148.4</v>
      </c>
      <c r="R153" s="9" t="s">
        <v>335</v>
      </c>
      <c r="S153" s="6">
        <v>12</v>
      </c>
      <c r="V153" s="6" t="s">
        <v>342</v>
      </c>
      <c r="AB153" s="6">
        <v>0.6</v>
      </c>
      <c r="AC153" s="6">
        <v>2</v>
      </c>
    </row>
    <row r="154" spans="1:29" s="6" customFormat="1" x14ac:dyDescent="0.3">
      <c r="A154" s="6" t="s">
        <v>330</v>
      </c>
      <c r="B154" s="6" t="s">
        <v>318</v>
      </c>
      <c r="C154" s="6" t="s">
        <v>319</v>
      </c>
      <c r="D154" s="6" t="s">
        <v>343</v>
      </c>
      <c r="E154" s="6">
        <v>0.24</v>
      </c>
      <c r="F154" s="6">
        <v>1.08</v>
      </c>
      <c r="H154" s="6">
        <v>0.5</v>
      </c>
      <c r="I154" s="6">
        <v>0.34</v>
      </c>
      <c r="J154" s="6">
        <v>0.18</v>
      </c>
      <c r="L154" s="6" t="s">
        <v>348</v>
      </c>
      <c r="M154" s="6" t="s">
        <v>339</v>
      </c>
      <c r="Q154" s="9">
        <f>12*30.62</f>
        <v>367.44</v>
      </c>
      <c r="R154" s="9" t="s">
        <v>336</v>
      </c>
      <c r="S154" s="6">
        <v>16</v>
      </c>
      <c r="V154" s="6" t="s">
        <v>342</v>
      </c>
      <c r="AB154" s="6">
        <v>0.6</v>
      </c>
      <c r="AC154" s="6">
        <v>2</v>
      </c>
    </row>
    <row r="155" spans="1:29" s="6" customFormat="1" x14ac:dyDescent="0.3">
      <c r="A155" s="6" t="s">
        <v>331</v>
      </c>
      <c r="B155" s="6" t="s">
        <v>318</v>
      </c>
      <c r="C155" s="6" t="s">
        <v>319</v>
      </c>
      <c r="D155" s="6" t="s">
        <v>343</v>
      </c>
      <c r="E155" s="6">
        <v>0.24</v>
      </c>
      <c r="F155" s="6">
        <v>1.08</v>
      </c>
      <c r="H155" s="6">
        <v>0.5</v>
      </c>
      <c r="I155" s="6">
        <v>0.34</v>
      </c>
      <c r="J155" s="6">
        <v>0.18</v>
      </c>
      <c r="L155" s="6" t="s">
        <v>348</v>
      </c>
      <c r="M155" s="6" t="s">
        <v>339</v>
      </c>
      <c r="Q155" s="9">
        <f>12*20.42</f>
        <v>245.04000000000002</v>
      </c>
      <c r="R155" s="9" t="s">
        <v>337</v>
      </c>
      <c r="S155" s="6">
        <v>24</v>
      </c>
      <c r="V155" s="6" t="s">
        <v>342</v>
      </c>
      <c r="AB155" s="6">
        <v>0.6</v>
      </c>
      <c r="AC155" s="6">
        <v>2</v>
      </c>
    </row>
    <row r="156" spans="1:29" x14ac:dyDescent="0.3">
      <c r="A156" t="s">
        <v>320</v>
      </c>
      <c r="B156" t="s">
        <v>318</v>
      </c>
      <c r="C156" t="s">
        <v>108</v>
      </c>
      <c r="D156" t="s">
        <v>343</v>
      </c>
      <c r="E156">
        <v>0.27</v>
      </c>
      <c r="F156">
        <v>1.1599999999999999</v>
      </c>
      <c r="H156">
        <v>0.5</v>
      </c>
      <c r="I156">
        <v>0.37</v>
      </c>
      <c r="J156">
        <v>0.21</v>
      </c>
      <c r="L156" t="s">
        <v>348</v>
      </c>
      <c r="M156" t="s">
        <v>339</v>
      </c>
      <c r="Q156">
        <f>12*14.29</f>
        <v>171.48</v>
      </c>
      <c r="R156" t="s">
        <v>338</v>
      </c>
      <c r="S156">
        <v>3</v>
      </c>
      <c r="V156" s="7">
        <v>0.15529999999999999</v>
      </c>
      <c r="AB156">
        <v>0.6</v>
      </c>
      <c r="AC156">
        <v>0.4</v>
      </c>
    </row>
    <row r="157" spans="1:29" x14ac:dyDescent="0.3">
      <c r="A157" t="s">
        <v>323</v>
      </c>
      <c r="B157" t="s">
        <v>318</v>
      </c>
      <c r="C157" t="s">
        <v>108</v>
      </c>
      <c r="D157" t="s">
        <v>343</v>
      </c>
      <c r="E157">
        <v>0.27</v>
      </c>
      <c r="F157">
        <v>1.1599999999999999</v>
      </c>
      <c r="H157">
        <v>0.5</v>
      </c>
      <c r="I157">
        <v>0.37</v>
      </c>
      <c r="J157">
        <v>0.21</v>
      </c>
      <c r="L157" t="s">
        <v>348</v>
      </c>
      <c r="M157" t="s">
        <v>340</v>
      </c>
      <c r="Q157">
        <f>8*10.72</f>
        <v>85.76</v>
      </c>
      <c r="R157" t="s">
        <v>333</v>
      </c>
      <c r="S157">
        <v>6</v>
      </c>
      <c r="V157" s="7">
        <v>0.1091</v>
      </c>
      <c r="AB157">
        <v>0.6</v>
      </c>
      <c r="AC157">
        <v>0.4</v>
      </c>
    </row>
    <row r="158" spans="1:29" x14ac:dyDescent="0.3">
      <c r="A158" t="s">
        <v>321</v>
      </c>
      <c r="B158" t="s">
        <v>318</v>
      </c>
      <c r="C158" t="s">
        <v>179</v>
      </c>
      <c r="D158" t="s">
        <v>343</v>
      </c>
      <c r="E158">
        <v>0.27</v>
      </c>
      <c r="F158">
        <v>1.1599999999999999</v>
      </c>
      <c r="H158">
        <v>0.5</v>
      </c>
      <c r="I158">
        <v>0.37</v>
      </c>
      <c r="J158">
        <v>0.21</v>
      </c>
      <c r="L158" t="s">
        <v>348</v>
      </c>
      <c r="M158" t="s">
        <v>339</v>
      </c>
      <c r="Q158">
        <f>12*18.55</f>
        <v>222.60000000000002</v>
      </c>
      <c r="R158" t="s">
        <v>334</v>
      </c>
      <c r="S158">
        <v>6</v>
      </c>
      <c r="V158" s="7">
        <v>0.17349999999999999</v>
      </c>
      <c r="AB158">
        <v>0.6</v>
      </c>
      <c r="AC158">
        <v>0.4</v>
      </c>
    </row>
    <row r="159" spans="1:29" x14ac:dyDescent="0.3">
      <c r="A159" t="s">
        <v>324</v>
      </c>
      <c r="B159" t="s">
        <v>318</v>
      </c>
      <c r="C159" t="s">
        <v>179</v>
      </c>
      <c r="D159" t="s">
        <v>343</v>
      </c>
      <c r="E159">
        <v>0.27</v>
      </c>
      <c r="F159">
        <v>1.1599999999999999</v>
      </c>
      <c r="H159">
        <v>0.5</v>
      </c>
      <c r="I159">
        <v>0.37</v>
      </c>
      <c r="J159">
        <v>0.21</v>
      </c>
      <c r="L159" t="s">
        <v>348</v>
      </c>
      <c r="M159" t="s">
        <v>340</v>
      </c>
      <c r="Q159">
        <f>10*14.84</f>
        <v>148.4</v>
      </c>
      <c r="R159" t="s">
        <v>335</v>
      </c>
      <c r="S159">
        <v>9</v>
      </c>
      <c r="V159" s="7">
        <v>0.14219999999999999</v>
      </c>
      <c r="AB159">
        <v>0.6</v>
      </c>
      <c r="AC159">
        <v>0.4</v>
      </c>
    </row>
    <row r="160" spans="1:29" x14ac:dyDescent="0.3">
      <c r="A160" t="s">
        <v>322</v>
      </c>
      <c r="B160" t="s">
        <v>318</v>
      </c>
      <c r="C160" t="s">
        <v>207</v>
      </c>
      <c r="D160" t="s">
        <v>343</v>
      </c>
      <c r="E160">
        <v>0.27</v>
      </c>
      <c r="F160">
        <v>1.1599999999999999</v>
      </c>
      <c r="H160">
        <v>0.5</v>
      </c>
      <c r="I160">
        <v>0.37</v>
      </c>
      <c r="J160">
        <v>0.21</v>
      </c>
      <c r="L160" t="s">
        <v>348</v>
      </c>
      <c r="M160" t="s">
        <v>340</v>
      </c>
      <c r="Q160">
        <f>12*30.62</f>
        <v>367.44</v>
      </c>
      <c r="R160" t="s">
        <v>336</v>
      </c>
      <c r="S160">
        <v>12</v>
      </c>
      <c r="V160" s="7">
        <v>0.20530000000000001</v>
      </c>
    </row>
    <row r="161" spans="1:22" x14ac:dyDescent="0.3">
      <c r="A161" t="s">
        <v>325</v>
      </c>
      <c r="B161" t="s">
        <v>318</v>
      </c>
      <c r="C161" t="s">
        <v>207</v>
      </c>
      <c r="D161" t="s">
        <v>343</v>
      </c>
      <c r="E161">
        <v>0.32</v>
      </c>
      <c r="F161">
        <v>1.24</v>
      </c>
      <c r="H161">
        <v>0.5</v>
      </c>
      <c r="I161">
        <v>0.41</v>
      </c>
      <c r="J161">
        <v>0.25</v>
      </c>
      <c r="L161" t="s">
        <v>348</v>
      </c>
      <c r="M161" t="s">
        <v>341</v>
      </c>
      <c r="Q161">
        <f>12*20.42</f>
        <v>245.04000000000002</v>
      </c>
      <c r="R161" t="s">
        <v>337</v>
      </c>
      <c r="S161">
        <v>18</v>
      </c>
      <c r="V161" s="8">
        <v>0.18</v>
      </c>
    </row>
    <row r="162" spans="1:22" x14ac:dyDescent="0.3">
      <c r="A162" t="s">
        <v>320</v>
      </c>
      <c r="B162" t="s">
        <v>344</v>
      </c>
      <c r="C162" t="s">
        <v>108</v>
      </c>
      <c r="D162" t="s">
        <v>109</v>
      </c>
      <c r="E162">
        <v>1.55</v>
      </c>
      <c r="F162">
        <v>2.5</v>
      </c>
      <c r="H162">
        <v>0.67</v>
      </c>
      <c r="I162">
        <v>1.25</v>
      </c>
      <c r="J162">
        <v>0.75</v>
      </c>
      <c r="M162" t="s">
        <v>339</v>
      </c>
      <c r="Q162">
        <f>12*14.29</f>
        <v>171.48</v>
      </c>
      <c r="R162" t="s">
        <v>338</v>
      </c>
      <c r="S162">
        <v>3</v>
      </c>
    </row>
    <row r="163" spans="1:22" x14ac:dyDescent="0.3">
      <c r="A163" t="s">
        <v>323</v>
      </c>
      <c r="B163" t="s">
        <v>344</v>
      </c>
      <c r="C163" t="s">
        <v>108</v>
      </c>
      <c r="D163" t="s">
        <v>109</v>
      </c>
      <c r="E163">
        <v>1.55</v>
      </c>
      <c r="F163">
        <v>2.5</v>
      </c>
      <c r="H163">
        <v>0.67</v>
      </c>
      <c r="I163">
        <v>1.25</v>
      </c>
      <c r="J163">
        <v>0.75</v>
      </c>
      <c r="M163" t="s">
        <v>340</v>
      </c>
      <c r="Q163">
        <f>8*10.72</f>
        <v>85.76</v>
      </c>
      <c r="R163" t="s">
        <v>333</v>
      </c>
      <c r="S163">
        <v>6</v>
      </c>
    </row>
    <row r="164" spans="1:22" x14ac:dyDescent="0.3">
      <c r="A164" t="s">
        <v>321</v>
      </c>
      <c r="B164" t="s">
        <v>344</v>
      </c>
      <c r="C164" t="s">
        <v>179</v>
      </c>
      <c r="D164" t="s">
        <v>109</v>
      </c>
      <c r="E164">
        <v>1.55</v>
      </c>
      <c r="F164">
        <v>2.5</v>
      </c>
      <c r="H164">
        <v>0.67</v>
      </c>
      <c r="I164">
        <v>1.25</v>
      </c>
      <c r="J164">
        <v>0.75</v>
      </c>
      <c r="M164" t="s">
        <v>339</v>
      </c>
      <c r="Q164">
        <f>12*18.55</f>
        <v>222.60000000000002</v>
      </c>
      <c r="R164" t="s">
        <v>334</v>
      </c>
      <c r="S164">
        <v>6</v>
      </c>
    </row>
    <row r="165" spans="1:22" x14ac:dyDescent="0.3">
      <c r="A165" t="s">
        <v>324</v>
      </c>
      <c r="B165" t="s">
        <v>344</v>
      </c>
      <c r="C165" t="s">
        <v>179</v>
      </c>
      <c r="D165" t="s">
        <v>109</v>
      </c>
      <c r="E165">
        <v>1.55</v>
      </c>
      <c r="F165">
        <v>2.5</v>
      </c>
      <c r="H165">
        <v>0.67</v>
      </c>
      <c r="I165">
        <v>1.25</v>
      </c>
      <c r="J165">
        <v>0.75</v>
      </c>
      <c r="M165" t="s">
        <v>340</v>
      </c>
      <c r="Q165">
        <f>10*14.84</f>
        <v>148.4</v>
      </c>
      <c r="R165" t="s">
        <v>335</v>
      </c>
      <c r="S165">
        <v>9</v>
      </c>
    </row>
    <row r="166" spans="1:22" x14ac:dyDescent="0.3">
      <c r="A166" t="s">
        <v>322</v>
      </c>
      <c r="B166" t="s">
        <v>344</v>
      </c>
      <c r="C166" t="s">
        <v>207</v>
      </c>
      <c r="D166" t="s">
        <v>109</v>
      </c>
      <c r="E166">
        <v>1.55</v>
      </c>
      <c r="F166">
        <v>2.5</v>
      </c>
      <c r="H166">
        <v>0.67</v>
      </c>
      <c r="I166">
        <v>1.25</v>
      </c>
      <c r="J166">
        <v>0.75</v>
      </c>
      <c r="M166" t="s">
        <v>340</v>
      </c>
      <c r="Q166">
        <f>12*30.62</f>
        <v>367.44</v>
      </c>
      <c r="R166" t="s">
        <v>336</v>
      </c>
      <c r="S166">
        <v>12</v>
      </c>
    </row>
    <row r="167" spans="1:22" x14ac:dyDescent="0.3">
      <c r="A167" t="s">
        <v>325</v>
      </c>
      <c r="B167" t="s">
        <v>344</v>
      </c>
      <c r="C167" t="s">
        <v>207</v>
      </c>
      <c r="D167" t="s">
        <v>109</v>
      </c>
      <c r="E167">
        <v>1.55</v>
      </c>
      <c r="F167">
        <v>2.5</v>
      </c>
      <c r="H167">
        <v>0.67</v>
      </c>
      <c r="I167">
        <v>1.25</v>
      </c>
      <c r="J167">
        <v>0.75</v>
      </c>
      <c r="M167" t="s">
        <v>341</v>
      </c>
      <c r="Q167">
        <f>12*20.42</f>
        <v>245.04000000000002</v>
      </c>
      <c r="R167" t="s">
        <v>337</v>
      </c>
      <c r="S167">
        <v>18</v>
      </c>
    </row>
    <row r="168" spans="1:22" x14ac:dyDescent="0.3">
      <c r="A168" t="s">
        <v>320</v>
      </c>
      <c r="B168" t="s">
        <v>345</v>
      </c>
      <c r="C168" t="s">
        <v>108</v>
      </c>
      <c r="D168" t="s">
        <v>109</v>
      </c>
      <c r="E168">
        <v>2</v>
      </c>
      <c r="F168">
        <v>2.5</v>
      </c>
      <c r="H168">
        <v>0.67</v>
      </c>
      <c r="I168">
        <v>1.2</v>
      </c>
      <c r="J168">
        <v>1.2</v>
      </c>
      <c r="M168" t="s">
        <v>339</v>
      </c>
      <c r="Q168">
        <f>12*14.29</f>
        <v>171.48</v>
      </c>
      <c r="R168" t="s">
        <v>338</v>
      </c>
      <c r="S168">
        <v>3</v>
      </c>
    </row>
    <row r="169" spans="1:22" x14ac:dyDescent="0.3">
      <c r="A169" t="s">
        <v>323</v>
      </c>
      <c r="B169" t="s">
        <v>345</v>
      </c>
      <c r="C169" t="s">
        <v>108</v>
      </c>
      <c r="D169" t="s">
        <v>109</v>
      </c>
      <c r="E169">
        <v>2</v>
      </c>
      <c r="F169">
        <v>2.5</v>
      </c>
      <c r="H169">
        <v>0.67</v>
      </c>
      <c r="I169">
        <v>1.2</v>
      </c>
      <c r="J169">
        <v>1.2</v>
      </c>
      <c r="M169" t="s">
        <v>340</v>
      </c>
      <c r="Q169">
        <f>8*10.72</f>
        <v>85.76</v>
      </c>
      <c r="R169" t="s">
        <v>333</v>
      </c>
      <c r="S169">
        <v>6</v>
      </c>
    </row>
    <row r="170" spans="1:22" x14ac:dyDescent="0.3">
      <c r="A170" t="s">
        <v>321</v>
      </c>
      <c r="B170" t="s">
        <v>345</v>
      </c>
      <c r="C170" t="s">
        <v>179</v>
      </c>
      <c r="D170" t="s">
        <v>109</v>
      </c>
      <c r="E170">
        <v>1.5</v>
      </c>
      <c r="F170">
        <v>2.5</v>
      </c>
      <c r="H170">
        <v>0.67</v>
      </c>
      <c r="I170">
        <v>1.2</v>
      </c>
      <c r="J170">
        <v>1.2</v>
      </c>
      <c r="M170" t="s">
        <v>339</v>
      </c>
      <c r="Q170">
        <f>12*18.55</f>
        <v>222.60000000000002</v>
      </c>
      <c r="R170" t="s">
        <v>334</v>
      </c>
      <c r="S170">
        <v>6</v>
      </c>
    </row>
    <row r="171" spans="1:22" x14ac:dyDescent="0.3">
      <c r="A171" t="s">
        <v>324</v>
      </c>
      <c r="B171" t="s">
        <v>345</v>
      </c>
      <c r="C171" t="s">
        <v>179</v>
      </c>
      <c r="D171" t="s">
        <v>109</v>
      </c>
      <c r="E171">
        <v>1.5</v>
      </c>
      <c r="F171">
        <v>2.5</v>
      </c>
      <c r="H171">
        <v>0.67</v>
      </c>
      <c r="I171">
        <v>1.2</v>
      </c>
      <c r="J171">
        <v>1.2</v>
      </c>
      <c r="M171" t="s">
        <v>340</v>
      </c>
      <c r="Q171">
        <f>10*14.84</f>
        <v>148.4</v>
      </c>
      <c r="R171" t="s">
        <v>335</v>
      </c>
      <c r="S171">
        <v>9</v>
      </c>
    </row>
    <row r="172" spans="1:22" x14ac:dyDescent="0.3">
      <c r="A172" t="s">
        <v>322</v>
      </c>
      <c r="B172" t="s">
        <v>345</v>
      </c>
      <c r="C172" t="s">
        <v>207</v>
      </c>
      <c r="D172" t="s">
        <v>109</v>
      </c>
      <c r="E172">
        <v>1.5</v>
      </c>
      <c r="F172">
        <v>2.5</v>
      </c>
      <c r="H172">
        <v>0.67</v>
      </c>
      <c r="I172">
        <v>1.2</v>
      </c>
      <c r="J172">
        <v>1.2</v>
      </c>
      <c r="M172" t="s">
        <v>340</v>
      </c>
      <c r="Q172">
        <f>12*30.62</f>
        <v>367.44</v>
      </c>
      <c r="R172" t="s">
        <v>336</v>
      </c>
      <c r="S172">
        <v>12</v>
      </c>
    </row>
    <row r="173" spans="1:22" x14ac:dyDescent="0.3">
      <c r="A173" t="s">
        <v>325</v>
      </c>
      <c r="B173" t="s">
        <v>345</v>
      </c>
      <c r="C173" t="s">
        <v>207</v>
      </c>
      <c r="D173" t="s">
        <v>109</v>
      </c>
      <c r="E173">
        <v>1.5</v>
      </c>
      <c r="F173">
        <v>2.5</v>
      </c>
      <c r="H173">
        <v>0.67</v>
      </c>
      <c r="I173">
        <v>1.2</v>
      </c>
      <c r="J173">
        <v>1.2</v>
      </c>
      <c r="M173" t="s">
        <v>341</v>
      </c>
      <c r="Q173">
        <f>12*20.42</f>
        <v>245.04000000000002</v>
      </c>
      <c r="R173" t="s">
        <v>337</v>
      </c>
      <c r="S173">
        <v>18</v>
      </c>
    </row>
    <row r="174" spans="1:22" x14ac:dyDescent="0.3">
      <c r="A174" t="s">
        <v>320</v>
      </c>
      <c r="B174" t="s">
        <v>346</v>
      </c>
      <c r="C174" t="s">
        <v>108</v>
      </c>
      <c r="D174" t="s">
        <v>109</v>
      </c>
      <c r="E174">
        <v>1.75</v>
      </c>
      <c r="F174">
        <v>2.5</v>
      </c>
      <c r="H174">
        <v>0.67</v>
      </c>
      <c r="I174">
        <v>1.95</v>
      </c>
      <c r="J174">
        <v>1.35</v>
      </c>
      <c r="M174" t="s">
        <v>339</v>
      </c>
      <c r="Q174">
        <f>12*14.29</f>
        <v>171.48</v>
      </c>
      <c r="R174" t="s">
        <v>338</v>
      </c>
      <c r="S174">
        <v>3</v>
      </c>
    </row>
    <row r="175" spans="1:22" x14ac:dyDescent="0.3">
      <c r="A175" t="s">
        <v>323</v>
      </c>
      <c r="B175" t="s">
        <v>346</v>
      </c>
      <c r="C175" t="s">
        <v>108</v>
      </c>
      <c r="D175" t="s">
        <v>109</v>
      </c>
      <c r="E175">
        <v>1.75</v>
      </c>
      <c r="F175">
        <v>2.5</v>
      </c>
      <c r="H175">
        <v>0.67</v>
      </c>
      <c r="I175">
        <v>1.95</v>
      </c>
      <c r="J175">
        <v>1.35</v>
      </c>
      <c r="M175" t="s">
        <v>340</v>
      </c>
      <c r="Q175">
        <f>8*10.72</f>
        <v>85.76</v>
      </c>
      <c r="R175" t="s">
        <v>333</v>
      </c>
      <c r="S175">
        <v>6</v>
      </c>
    </row>
    <row r="176" spans="1:22" x14ac:dyDescent="0.3">
      <c r="A176" t="s">
        <v>321</v>
      </c>
      <c r="B176" t="s">
        <v>346</v>
      </c>
      <c r="C176" t="s">
        <v>179</v>
      </c>
      <c r="D176" t="s">
        <v>109</v>
      </c>
      <c r="E176">
        <v>1.3</v>
      </c>
      <c r="F176">
        <v>2.5</v>
      </c>
      <c r="H176">
        <v>0.67</v>
      </c>
      <c r="I176">
        <v>1.1000000000000001</v>
      </c>
      <c r="J176">
        <v>1.35</v>
      </c>
      <c r="M176" t="s">
        <v>339</v>
      </c>
      <c r="Q176">
        <f>12*18.55</f>
        <v>222.60000000000002</v>
      </c>
      <c r="R176" t="s">
        <v>334</v>
      </c>
      <c r="S176">
        <v>6</v>
      </c>
    </row>
    <row r="177" spans="1:19" x14ac:dyDescent="0.3">
      <c r="A177" t="s">
        <v>324</v>
      </c>
      <c r="B177" t="s">
        <v>346</v>
      </c>
      <c r="C177" t="s">
        <v>179</v>
      </c>
      <c r="D177" t="s">
        <v>109</v>
      </c>
      <c r="E177">
        <v>1.3</v>
      </c>
      <c r="F177">
        <v>2.5</v>
      </c>
      <c r="H177">
        <v>0.67</v>
      </c>
      <c r="I177">
        <v>1.1000000000000001</v>
      </c>
      <c r="J177">
        <v>1.35</v>
      </c>
      <c r="M177" t="s">
        <v>340</v>
      </c>
      <c r="Q177">
        <f>10*14.84</f>
        <v>148.4</v>
      </c>
      <c r="R177" t="s">
        <v>335</v>
      </c>
      <c r="S177">
        <v>9</v>
      </c>
    </row>
    <row r="178" spans="1:19" x14ac:dyDescent="0.3">
      <c r="A178" t="s">
        <v>322</v>
      </c>
      <c r="B178" t="s">
        <v>346</v>
      </c>
      <c r="C178" t="s">
        <v>207</v>
      </c>
      <c r="D178" t="s">
        <v>109</v>
      </c>
      <c r="E178">
        <v>1.3</v>
      </c>
      <c r="F178">
        <v>2.5</v>
      </c>
      <c r="H178">
        <v>0.67</v>
      </c>
      <c r="I178">
        <v>1.1000000000000001</v>
      </c>
      <c r="J178">
        <v>1.35</v>
      </c>
      <c r="M178" t="s">
        <v>340</v>
      </c>
      <c r="Q178">
        <f>12*30.62</f>
        <v>367.44</v>
      </c>
      <c r="R178" t="s">
        <v>336</v>
      </c>
      <c r="S178">
        <v>12</v>
      </c>
    </row>
    <row r="179" spans="1:19" x14ac:dyDescent="0.3">
      <c r="A179" t="s">
        <v>325</v>
      </c>
      <c r="B179" t="s">
        <v>346</v>
      </c>
      <c r="C179" t="s">
        <v>207</v>
      </c>
      <c r="D179" t="s">
        <v>109</v>
      </c>
      <c r="E179">
        <v>1.3</v>
      </c>
      <c r="F179">
        <v>2.5</v>
      </c>
      <c r="H179">
        <v>0.67</v>
      </c>
      <c r="I179">
        <v>1.1000000000000001</v>
      </c>
      <c r="J179">
        <v>1.35</v>
      </c>
      <c r="M179" t="s">
        <v>341</v>
      </c>
      <c r="Q179">
        <f>12*20.42</f>
        <v>245.04000000000002</v>
      </c>
      <c r="R179" t="s">
        <v>337</v>
      </c>
      <c r="S179">
        <v>18</v>
      </c>
    </row>
    <row r="180" spans="1:19" x14ac:dyDescent="0.3">
      <c r="A180" t="s">
        <v>320</v>
      </c>
      <c r="B180" t="s">
        <v>347</v>
      </c>
      <c r="C180" t="s">
        <v>108</v>
      </c>
      <c r="D180" t="s">
        <v>109</v>
      </c>
      <c r="E180">
        <v>1.2</v>
      </c>
      <c r="F180">
        <v>3</v>
      </c>
      <c r="H180">
        <v>0.67</v>
      </c>
      <c r="I180">
        <v>1.35</v>
      </c>
      <c r="J180">
        <v>0.55000000000000004</v>
      </c>
      <c r="M180" t="s">
        <v>339</v>
      </c>
      <c r="Q180">
        <f>12*14.29</f>
        <v>171.48</v>
      </c>
      <c r="R180" t="s">
        <v>338</v>
      </c>
      <c r="S180">
        <v>3</v>
      </c>
    </row>
    <row r="181" spans="1:19" x14ac:dyDescent="0.3">
      <c r="A181" t="s">
        <v>323</v>
      </c>
      <c r="B181" t="s">
        <v>347</v>
      </c>
      <c r="C181" t="s">
        <v>108</v>
      </c>
      <c r="D181" t="s">
        <v>109</v>
      </c>
      <c r="E181">
        <v>1.2</v>
      </c>
      <c r="F181">
        <v>3</v>
      </c>
      <c r="H181">
        <v>0.67</v>
      </c>
      <c r="I181">
        <v>1.35</v>
      </c>
      <c r="J181">
        <v>0.55000000000000004</v>
      </c>
      <c r="M181" t="s">
        <v>340</v>
      </c>
      <c r="Q181">
        <f>8*10.72</f>
        <v>85.76</v>
      </c>
      <c r="R181" t="s">
        <v>333</v>
      </c>
      <c r="S181">
        <v>6</v>
      </c>
    </row>
    <row r="182" spans="1:19" x14ac:dyDescent="0.3">
      <c r="A182" t="s">
        <v>321</v>
      </c>
      <c r="B182" t="s">
        <v>347</v>
      </c>
      <c r="C182" t="s">
        <v>179</v>
      </c>
      <c r="D182" t="s">
        <v>109</v>
      </c>
      <c r="E182">
        <v>1.2</v>
      </c>
      <c r="F182">
        <v>3</v>
      </c>
      <c r="H182">
        <v>0.67</v>
      </c>
      <c r="I182">
        <v>1.35</v>
      </c>
      <c r="J182">
        <v>0.55000000000000004</v>
      </c>
      <c r="M182" t="s">
        <v>339</v>
      </c>
      <c r="Q182">
        <f>12*18.55</f>
        <v>222.60000000000002</v>
      </c>
      <c r="R182" t="s">
        <v>334</v>
      </c>
      <c r="S182">
        <v>6</v>
      </c>
    </row>
    <row r="183" spans="1:19" x14ac:dyDescent="0.3">
      <c r="A183" t="s">
        <v>324</v>
      </c>
      <c r="B183" t="s">
        <v>347</v>
      </c>
      <c r="C183" t="s">
        <v>179</v>
      </c>
      <c r="D183" t="s">
        <v>109</v>
      </c>
      <c r="E183">
        <v>1.2</v>
      </c>
      <c r="F183">
        <v>3</v>
      </c>
      <c r="H183">
        <v>0.67</v>
      </c>
      <c r="I183">
        <v>1.35</v>
      </c>
      <c r="J183">
        <v>0.55000000000000004</v>
      </c>
      <c r="M183" t="s">
        <v>340</v>
      </c>
      <c r="Q183">
        <f>10*14.84</f>
        <v>148.4</v>
      </c>
      <c r="R183" t="s">
        <v>335</v>
      </c>
      <c r="S183">
        <v>9</v>
      </c>
    </row>
    <row r="184" spans="1:19" x14ac:dyDescent="0.3">
      <c r="A184" t="s">
        <v>322</v>
      </c>
      <c r="B184" t="s">
        <v>347</v>
      </c>
      <c r="C184" t="s">
        <v>207</v>
      </c>
      <c r="D184" t="s">
        <v>109</v>
      </c>
      <c r="E184">
        <v>1.2</v>
      </c>
      <c r="F184">
        <v>3</v>
      </c>
      <c r="H184">
        <v>0.67</v>
      </c>
      <c r="I184">
        <v>1.35</v>
      </c>
      <c r="J184">
        <v>0.55000000000000004</v>
      </c>
      <c r="M184" t="s">
        <v>340</v>
      </c>
      <c r="Q184">
        <f>12*30.62</f>
        <v>367.44</v>
      </c>
      <c r="R184" t="s">
        <v>336</v>
      </c>
      <c r="S184">
        <v>12</v>
      </c>
    </row>
    <row r="185" spans="1:19" x14ac:dyDescent="0.3">
      <c r="A185" t="s">
        <v>325</v>
      </c>
      <c r="B185" t="s">
        <v>347</v>
      </c>
      <c r="C185" t="s">
        <v>207</v>
      </c>
      <c r="D185" t="s">
        <v>109</v>
      </c>
      <c r="E185">
        <v>1.2</v>
      </c>
      <c r="F185">
        <v>3</v>
      </c>
      <c r="H185">
        <v>0.67</v>
      </c>
      <c r="I185">
        <v>1.35</v>
      </c>
      <c r="J185">
        <v>0.55000000000000004</v>
      </c>
      <c r="M185" t="s">
        <v>341</v>
      </c>
      <c r="Q185">
        <f>12*20.42</f>
        <v>245.04000000000002</v>
      </c>
      <c r="R185" t="s">
        <v>337</v>
      </c>
      <c r="S185">
        <v>18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7813-2B40-48D9-A5EC-3AA0168A6461}">
  <dimension ref="A1:J42"/>
  <sheetViews>
    <sheetView workbookViewId="0"/>
  </sheetViews>
  <sheetFormatPr baseColWidth="10" defaultRowHeight="14.4" x14ac:dyDescent="0.3"/>
  <cols>
    <col min="1" max="1" width="17.88671875" customWidth="1"/>
    <col min="2" max="2" width="52.77734375" customWidth="1"/>
  </cols>
  <sheetData>
    <row r="1" spans="1:10" x14ac:dyDescent="0.3">
      <c r="C1" t="s">
        <v>742</v>
      </c>
      <c r="D1" t="s">
        <v>743</v>
      </c>
      <c r="E1" t="s">
        <v>744</v>
      </c>
      <c r="F1" t="s">
        <v>745</v>
      </c>
      <c r="G1" t="s">
        <v>742</v>
      </c>
      <c r="H1" t="s">
        <v>743</v>
      </c>
      <c r="I1" t="s">
        <v>744</v>
      </c>
      <c r="J1" t="s">
        <v>745</v>
      </c>
    </row>
    <row r="2" spans="1:10" x14ac:dyDescent="0.3">
      <c r="A2" t="s">
        <v>746</v>
      </c>
      <c r="C2" s="10">
        <v>7.8689999999999996E-2</v>
      </c>
      <c r="D2" s="10">
        <v>0.18706600000000001</v>
      </c>
      <c r="E2" s="10">
        <v>0.22523299999999999</v>
      </c>
      <c r="F2" s="10">
        <v>0.18706600000000001</v>
      </c>
      <c r="G2" s="10">
        <f t="shared" ref="G2:G42" si="0">C2/SUM($C2:$F2)</f>
        <v>0.11605253261166128</v>
      </c>
      <c r="H2" s="10">
        <f t="shared" ref="H2" si="1">D2/SUM($C2:$F2)</f>
        <v>0.27588617442537844</v>
      </c>
      <c r="I2" s="10">
        <f t="shared" ref="I2" si="2">E2/SUM($C2:$F2)</f>
        <v>0.33217511853758169</v>
      </c>
      <c r="J2" s="10">
        <f t="shared" ref="J2" si="3">F2/SUM($C2:$F2)</f>
        <v>0.27588617442537844</v>
      </c>
    </row>
    <row r="3" spans="1:10" ht="15" thickBot="1" x14ac:dyDescent="0.35">
      <c r="A3" t="s">
        <v>747</v>
      </c>
      <c r="B3" t="s">
        <v>787</v>
      </c>
      <c r="C3" s="10">
        <v>0.15</v>
      </c>
      <c r="D3" s="10">
        <v>0.15</v>
      </c>
      <c r="E3" s="10">
        <v>0.15</v>
      </c>
      <c r="F3" s="10">
        <v>0.15</v>
      </c>
      <c r="G3" s="10">
        <f t="shared" si="0"/>
        <v>0.25</v>
      </c>
      <c r="H3" s="10">
        <f t="shared" ref="H3:J3" si="4">D3/SUM($C3:$F3)</f>
        <v>0.25</v>
      </c>
      <c r="I3" s="10">
        <f t="shared" si="4"/>
        <v>0.25</v>
      </c>
      <c r="J3" s="10">
        <f t="shared" si="4"/>
        <v>0.25</v>
      </c>
    </row>
    <row r="4" spans="1:10" s="13" customFormat="1" x14ac:dyDescent="0.3">
      <c r="A4" s="11" t="s">
        <v>748</v>
      </c>
      <c r="B4" s="13" t="s">
        <v>788</v>
      </c>
      <c r="C4" s="12">
        <v>0.31028</v>
      </c>
      <c r="D4" s="12">
        <v>0.31028</v>
      </c>
      <c r="E4" s="12">
        <v>0.31028</v>
      </c>
      <c r="F4" s="12">
        <v>0.31028</v>
      </c>
      <c r="G4" s="12">
        <f t="shared" si="0"/>
        <v>0.25</v>
      </c>
      <c r="H4" s="12">
        <f t="shared" ref="H4:H42" si="5">D4/SUM($C4:$F4)</f>
        <v>0.25</v>
      </c>
      <c r="I4" s="12">
        <f t="shared" ref="I4:I42" si="6">E4/SUM($C4:$F4)</f>
        <v>0.25</v>
      </c>
      <c r="J4" s="12">
        <f t="shared" ref="J4:J42" si="7">F4/SUM($C4:$F4)</f>
        <v>0.25</v>
      </c>
    </row>
    <row r="5" spans="1:10" x14ac:dyDescent="0.3">
      <c r="A5" s="14" t="s">
        <v>749</v>
      </c>
      <c r="B5" t="s">
        <v>789</v>
      </c>
      <c r="C5" s="15">
        <v>0.39448800000000001</v>
      </c>
      <c r="D5" s="15">
        <v>0.39448800000000001</v>
      </c>
      <c r="E5" s="15">
        <v>0.39448800000000001</v>
      </c>
      <c r="F5" s="15">
        <v>0.39448800000000001</v>
      </c>
      <c r="G5" s="15">
        <f t="shared" si="0"/>
        <v>0.25</v>
      </c>
      <c r="H5" s="15">
        <f t="shared" si="5"/>
        <v>0.25</v>
      </c>
      <c r="I5" s="15">
        <f t="shared" si="6"/>
        <v>0.25</v>
      </c>
      <c r="J5" s="15">
        <f t="shared" si="7"/>
        <v>0.25</v>
      </c>
    </row>
    <row r="6" spans="1:10" s="18" customFormat="1" ht="15" thickBot="1" x14ac:dyDescent="0.35">
      <c r="A6" s="16" t="s">
        <v>750</v>
      </c>
      <c r="B6" s="18" t="s">
        <v>790</v>
      </c>
      <c r="C6" s="17">
        <v>0.37138300000000002</v>
      </c>
      <c r="D6" s="17">
        <v>0.37138300000000002</v>
      </c>
      <c r="E6" s="17">
        <v>0.37138300000000002</v>
      </c>
      <c r="F6" s="17">
        <v>0.37138300000000002</v>
      </c>
      <c r="G6" s="17">
        <f t="shared" si="0"/>
        <v>0.25</v>
      </c>
      <c r="H6" s="17">
        <f t="shared" si="5"/>
        <v>0.25</v>
      </c>
      <c r="I6" s="17">
        <f t="shared" si="6"/>
        <v>0.25</v>
      </c>
      <c r="J6" s="17">
        <f t="shared" si="7"/>
        <v>0.25</v>
      </c>
    </row>
    <row r="7" spans="1:10" x14ac:dyDescent="0.3">
      <c r="A7" t="s">
        <v>751</v>
      </c>
      <c r="B7" t="s">
        <v>791</v>
      </c>
      <c r="C7" s="10">
        <v>0.37075799999999998</v>
      </c>
      <c r="D7" s="10">
        <v>0.37075799999999998</v>
      </c>
      <c r="E7" s="10">
        <v>0.37075799999999998</v>
      </c>
      <c r="F7" s="10">
        <v>0.37075799999999998</v>
      </c>
      <c r="G7" s="10">
        <f t="shared" si="0"/>
        <v>0.25</v>
      </c>
      <c r="H7" s="10">
        <f t="shared" si="5"/>
        <v>0.25</v>
      </c>
      <c r="I7" s="10">
        <f t="shared" si="6"/>
        <v>0.25</v>
      </c>
      <c r="J7" s="10">
        <f t="shared" si="7"/>
        <v>0.25</v>
      </c>
    </row>
    <row r="8" spans="1:10" x14ac:dyDescent="0.3">
      <c r="A8" t="s">
        <v>752</v>
      </c>
      <c r="B8" t="s">
        <v>792</v>
      </c>
      <c r="C8" s="10">
        <v>0.43630999999999998</v>
      </c>
      <c r="D8" s="10">
        <v>0.43630999999999998</v>
      </c>
      <c r="E8" s="10">
        <v>0.43630999999999998</v>
      </c>
      <c r="F8" s="10">
        <v>0.43630999999999998</v>
      </c>
      <c r="G8" s="10">
        <f t="shared" si="0"/>
        <v>0.25</v>
      </c>
      <c r="H8" s="10">
        <f t="shared" si="5"/>
        <v>0.25</v>
      </c>
      <c r="I8" s="10">
        <f t="shared" si="6"/>
        <v>0.25</v>
      </c>
      <c r="J8" s="10">
        <f t="shared" si="7"/>
        <v>0.25</v>
      </c>
    </row>
    <row r="9" spans="1:10" ht="15" thickBot="1" x14ac:dyDescent="0.35">
      <c r="A9" t="s">
        <v>753</v>
      </c>
      <c r="B9" t="s">
        <v>793</v>
      </c>
      <c r="C9" s="10">
        <v>0.463285</v>
      </c>
      <c r="D9" s="10">
        <v>0.463285</v>
      </c>
      <c r="E9" s="10">
        <v>0.463285</v>
      </c>
      <c r="F9" s="10">
        <v>0.463285</v>
      </c>
      <c r="G9" s="10">
        <f t="shared" si="0"/>
        <v>0.25</v>
      </c>
      <c r="H9" s="10">
        <f t="shared" si="5"/>
        <v>0.25</v>
      </c>
      <c r="I9" s="10">
        <f t="shared" si="6"/>
        <v>0.25</v>
      </c>
      <c r="J9" s="10">
        <f t="shared" si="7"/>
        <v>0.25</v>
      </c>
    </row>
    <row r="10" spans="1:10" s="13" customFormat="1" x14ac:dyDescent="0.3">
      <c r="A10" s="11" t="s">
        <v>754</v>
      </c>
      <c r="B10" s="13" t="s">
        <v>794</v>
      </c>
      <c r="C10" s="12">
        <v>0.26594800000000002</v>
      </c>
      <c r="D10" s="12">
        <v>0.26594800000000002</v>
      </c>
      <c r="E10" s="12">
        <v>0.26594800000000002</v>
      </c>
      <c r="F10" s="12">
        <v>0.26594800000000002</v>
      </c>
      <c r="G10" s="12">
        <f t="shared" si="0"/>
        <v>0.25</v>
      </c>
      <c r="H10" s="12">
        <f t="shared" si="5"/>
        <v>0.25</v>
      </c>
      <c r="I10" s="12">
        <f t="shared" si="6"/>
        <v>0.25</v>
      </c>
      <c r="J10" s="12">
        <f t="shared" si="7"/>
        <v>0.25</v>
      </c>
    </row>
    <row r="11" spans="1:10" x14ac:dyDescent="0.3">
      <c r="A11" s="14" t="s">
        <v>755</v>
      </c>
      <c r="B11" t="s">
        <v>795</v>
      </c>
      <c r="C11" s="15">
        <v>0.33796100000000001</v>
      </c>
      <c r="D11" s="15">
        <v>0.33796100000000001</v>
      </c>
      <c r="E11" s="15">
        <v>0.33796100000000001</v>
      </c>
      <c r="F11" s="15">
        <v>0.33796100000000001</v>
      </c>
      <c r="G11" s="15">
        <f t="shared" si="0"/>
        <v>0.25</v>
      </c>
      <c r="H11" s="15">
        <f t="shared" si="5"/>
        <v>0.25</v>
      </c>
      <c r="I11" s="15">
        <f t="shared" si="6"/>
        <v>0.25</v>
      </c>
      <c r="J11" s="15">
        <f t="shared" si="7"/>
        <v>0.25</v>
      </c>
    </row>
    <row r="12" spans="1:10" s="18" customFormat="1" ht="15" thickBot="1" x14ac:dyDescent="0.35">
      <c r="A12" s="16" t="s">
        <v>756</v>
      </c>
      <c r="B12" s="18" t="s">
        <v>796</v>
      </c>
      <c r="C12" s="17">
        <v>0.46553600000000001</v>
      </c>
      <c r="D12" s="17">
        <v>0.46553600000000001</v>
      </c>
      <c r="E12" s="17">
        <v>0.46553600000000001</v>
      </c>
      <c r="F12" s="17">
        <v>0.46553600000000001</v>
      </c>
      <c r="G12" s="17">
        <f t="shared" si="0"/>
        <v>0.25</v>
      </c>
      <c r="H12" s="17">
        <f t="shared" si="5"/>
        <v>0.25</v>
      </c>
      <c r="I12" s="17">
        <f t="shared" si="6"/>
        <v>0.25</v>
      </c>
      <c r="J12" s="17">
        <f t="shared" si="7"/>
        <v>0.25</v>
      </c>
    </row>
    <row r="13" spans="1:10" x14ac:dyDescent="0.3">
      <c r="A13" t="s">
        <v>757</v>
      </c>
      <c r="B13" t="s">
        <v>797</v>
      </c>
      <c r="C13" s="10">
        <v>0.39581899999999998</v>
      </c>
      <c r="D13" s="10">
        <v>0.39581899999999998</v>
      </c>
      <c r="E13" s="10">
        <v>0.39581899999999998</v>
      </c>
      <c r="F13" s="10">
        <v>0.39581899999999998</v>
      </c>
      <c r="G13" s="10">
        <f t="shared" si="0"/>
        <v>0.25</v>
      </c>
      <c r="H13" s="10">
        <f t="shared" si="5"/>
        <v>0.25</v>
      </c>
      <c r="I13" s="10">
        <f t="shared" si="6"/>
        <v>0.25</v>
      </c>
      <c r="J13" s="10">
        <f t="shared" si="7"/>
        <v>0.25</v>
      </c>
    </row>
    <row r="14" spans="1:10" x14ac:dyDescent="0.3">
      <c r="A14" t="s">
        <v>758</v>
      </c>
      <c r="B14" t="s">
        <v>798</v>
      </c>
      <c r="C14" s="10">
        <v>0.43202699999999999</v>
      </c>
      <c r="D14" s="10">
        <v>0.43202699999999999</v>
      </c>
      <c r="E14" s="10">
        <v>0.43202699999999999</v>
      </c>
      <c r="F14" s="10">
        <v>0.43202699999999999</v>
      </c>
      <c r="G14" s="10">
        <f t="shared" si="0"/>
        <v>0.25</v>
      </c>
      <c r="H14" s="10">
        <f t="shared" si="5"/>
        <v>0.25</v>
      </c>
      <c r="I14" s="10">
        <f t="shared" si="6"/>
        <v>0.25</v>
      </c>
      <c r="J14" s="10">
        <f t="shared" si="7"/>
        <v>0.25</v>
      </c>
    </row>
    <row r="15" spans="1:10" ht="15" thickBot="1" x14ac:dyDescent="0.35">
      <c r="A15" t="s">
        <v>759</v>
      </c>
      <c r="B15" t="s">
        <v>799</v>
      </c>
      <c r="C15" s="10">
        <v>0.35724400000000001</v>
      </c>
      <c r="D15" s="10">
        <v>0.35724400000000001</v>
      </c>
      <c r="E15" s="10">
        <v>0.35724400000000001</v>
      </c>
      <c r="F15" s="10">
        <v>0.35724400000000001</v>
      </c>
      <c r="G15" s="10">
        <f t="shared" si="0"/>
        <v>0.25</v>
      </c>
      <c r="H15" s="10">
        <f t="shared" si="5"/>
        <v>0.25</v>
      </c>
      <c r="I15" s="10">
        <f t="shared" si="6"/>
        <v>0.25</v>
      </c>
      <c r="J15" s="10">
        <f t="shared" si="7"/>
        <v>0.25</v>
      </c>
    </row>
    <row r="16" spans="1:10" s="13" customFormat="1" x14ac:dyDescent="0.3">
      <c r="A16" s="11" t="s">
        <v>760</v>
      </c>
      <c r="B16" s="13" t="s">
        <v>800</v>
      </c>
      <c r="C16" s="12">
        <v>0.29507699999999998</v>
      </c>
      <c r="D16" s="12">
        <v>0.29507699999999998</v>
      </c>
      <c r="E16" s="12">
        <v>0.29507699999999998</v>
      </c>
      <c r="F16" s="12">
        <v>0.29507699999999998</v>
      </c>
      <c r="G16" s="12">
        <f t="shared" si="0"/>
        <v>0.25</v>
      </c>
      <c r="H16" s="12">
        <f t="shared" si="5"/>
        <v>0.25</v>
      </c>
      <c r="I16" s="12">
        <f t="shared" si="6"/>
        <v>0.25</v>
      </c>
      <c r="J16" s="12">
        <f t="shared" si="7"/>
        <v>0.25</v>
      </c>
    </row>
    <row r="17" spans="1:10" x14ac:dyDescent="0.3">
      <c r="A17" s="14" t="s">
        <v>761</v>
      </c>
      <c r="B17" t="s">
        <v>801</v>
      </c>
      <c r="C17" s="15">
        <v>0.29121200000000003</v>
      </c>
      <c r="D17" s="15">
        <v>0.29121200000000003</v>
      </c>
      <c r="E17" s="15">
        <v>0.29121200000000003</v>
      </c>
      <c r="F17" s="15">
        <v>0.29121200000000003</v>
      </c>
      <c r="G17" s="15">
        <f t="shared" si="0"/>
        <v>0.25</v>
      </c>
      <c r="H17" s="15">
        <f t="shared" si="5"/>
        <v>0.25</v>
      </c>
      <c r="I17" s="15">
        <f t="shared" si="6"/>
        <v>0.25</v>
      </c>
      <c r="J17" s="15">
        <f t="shared" si="7"/>
        <v>0.25</v>
      </c>
    </row>
    <row r="18" spans="1:10" s="18" customFormat="1" ht="15" thickBot="1" x14ac:dyDescent="0.35">
      <c r="A18" s="16" t="s">
        <v>762</v>
      </c>
      <c r="B18" s="18" t="s">
        <v>802</v>
      </c>
      <c r="C18" s="17">
        <v>0.50745499999999999</v>
      </c>
      <c r="D18" s="17">
        <v>0.50745499999999999</v>
      </c>
      <c r="E18" s="17">
        <v>0.50745499999999999</v>
      </c>
      <c r="F18" s="17">
        <v>0.50745499999999999</v>
      </c>
      <c r="G18" s="17">
        <f t="shared" si="0"/>
        <v>0.25</v>
      </c>
      <c r="H18" s="17">
        <f t="shared" si="5"/>
        <v>0.25</v>
      </c>
      <c r="I18" s="17">
        <f t="shared" si="6"/>
        <v>0.25</v>
      </c>
      <c r="J18" s="17">
        <f t="shared" si="7"/>
        <v>0.25</v>
      </c>
    </row>
    <row r="19" spans="1:10" x14ac:dyDescent="0.3">
      <c r="A19" t="s">
        <v>763</v>
      </c>
      <c r="B19" t="s">
        <v>803</v>
      </c>
      <c r="C19" s="10">
        <v>0.588364</v>
      </c>
      <c r="D19" s="10">
        <v>0.588364</v>
      </c>
      <c r="E19" s="10">
        <v>0.588364</v>
      </c>
      <c r="F19" s="10">
        <v>0.588364</v>
      </c>
      <c r="G19" s="10">
        <f t="shared" si="0"/>
        <v>0.25</v>
      </c>
      <c r="H19" s="10">
        <f t="shared" si="5"/>
        <v>0.25</v>
      </c>
      <c r="I19" s="10">
        <f t="shared" si="6"/>
        <v>0.25</v>
      </c>
      <c r="J19" s="10">
        <f t="shared" si="7"/>
        <v>0.25</v>
      </c>
    </row>
    <row r="20" spans="1:10" x14ac:dyDescent="0.3">
      <c r="A20" t="s">
        <v>764</v>
      </c>
      <c r="B20" t="s">
        <v>804</v>
      </c>
      <c r="C20" s="10">
        <v>0.26712599999999997</v>
      </c>
      <c r="D20" s="10">
        <v>0.26712599999999997</v>
      </c>
      <c r="E20" s="10">
        <v>0.26712599999999997</v>
      </c>
      <c r="F20" s="10">
        <v>0.26712599999999997</v>
      </c>
      <c r="G20" s="10">
        <f t="shared" si="0"/>
        <v>0.25</v>
      </c>
      <c r="H20" s="10">
        <f t="shared" si="5"/>
        <v>0.25</v>
      </c>
      <c r="I20" s="10">
        <f t="shared" si="6"/>
        <v>0.25</v>
      </c>
      <c r="J20" s="10">
        <f t="shared" si="7"/>
        <v>0.25</v>
      </c>
    </row>
    <row r="21" spans="1:10" ht="15" thickBot="1" x14ac:dyDescent="0.35">
      <c r="A21" t="s">
        <v>765</v>
      </c>
      <c r="B21" t="s">
        <v>805</v>
      </c>
      <c r="C21" s="10">
        <v>0.12559899999999999</v>
      </c>
      <c r="D21" s="10">
        <v>0.12559899999999999</v>
      </c>
      <c r="E21" s="10">
        <v>0.12559899999999999</v>
      </c>
      <c r="F21" s="10">
        <v>0.12559899999999999</v>
      </c>
      <c r="G21" s="10">
        <f t="shared" si="0"/>
        <v>0.25</v>
      </c>
      <c r="H21" s="10">
        <f t="shared" si="5"/>
        <v>0.25</v>
      </c>
      <c r="I21" s="10">
        <f t="shared" si="6"/>
        <v>0.25</v>
      </c>
      <c r="J21" s="10">
        <f t="shared" si="7"/>
        <v>0.25</v>
      </c>
    </row>
    <row r="22" spans="1:10" s="13" customFormat="1" x14ac:dyDescent="0.3">
      <c r="A22" s="11" t="s">
        <v>766</v>
      </c>
      <c r="B22" s="13" t="s">
        <v>806</v>
      </c>
      <c r="C22" s="12">
        <v>0.27556000000000003</v>
      </c>
      <c r="D22" s="12">
        <v>0.27556000000000003</v>
      </c>
      <c r="E22" s="12">
        <v>0.27556000000000003</v>
      </c>
      <c r="F22" s="12">
        <v>0.27556000000000003</v>
      </c>
      <c r="G22" s="12">
        <f t="shared" si="0"/>
        <v>0.25</v>
      </c>
      <c r="H22" s="12">
        <f t="shared" si="5"/>
        <v>0.25</v>
      </c>
      <c r="I22" s="12">
        <f t="shared" si="6"/>
        <v>0.25</v>
      </c>
      <c r="J22" s="12">
        <f t="shared" si="7"/>
        <v>0.25</v>
      </c>
    </row>
    <row r="23" spans="1:10" x14ac:dyDescent="0.3">
      <c r="A23" s="14" t="s">
        <v>767</v>
      </c>
      <c r="B23" t="s">
        <v>807</v>
      </c>
      <c r="C23" s="15">
        <v>0.33045400000000003</v>
      </c>
      <c r="D23" s="15">
        <v>0.33045400000000003</v>
      </c>
      <c r="E23" s="15">
        <v>0.33045400000000003</v>
      </c>
      <c r="F23" s="15">
        <v>0.33045400000000003</v>
      </c>
      <c r="G23" s="15">
        <f t="shared" si="0"/>
        <v>0.25</v>
      </c>
      <c r="H23" s="15">
        <f t="shared" si="5"/>
        <v>0.25</v>
      </c>
      <c r="I23" s="15">
        <f t="shared" si="6"/>
        <v>0.25</v>
      </c>
      <c r="J23" s="15">
        <f t="shared" si="7"/>
        <v>0.25</v>
      </c>
    </row>
    <row r="24" spans="1:10" s="18" customFormat="1" ht="15" thickBot="1" x14ac:dyDescent="0.35">
      <c r="A24" s="16" t="s">
        <v>768</v>
      </c>
      <c r="B24" s="18" t="s">
        <v>808</v>
      </c>
      <c r="C24" s="17">
        <v>0.31654100000000002</v>
      </c>
      <c r="D24" s="17">
        <v>0.31654100000000002</v>
      </c>
      <c r="E24" s="17">
        <v>0.31654100000000002</v>
      </c>
      <c r="F24" s="17">
        <v>0.31654100000000002</v>
      </c>
      <c r="G24" s="17">
        <f t="shared" si="0"/>
        <v>0.25</v>
      </c>
      <c r="H24" s="17">
        <f t="shared" si="5"/>
        <v>0.25</v>
      </c>
      <c r="I24" s="17">
        <f t="shared" si="6"/>
        <v>0.25</v>
      </c>
      <c r="J24" s="17">
        <f t="shared" si="7"/>
        <v>0.25</v>
      </c>
    </row>
    <row r="25" spans="1:10" x14ac:dyDescent="0.3">
      <c r="A25" t="s">
        <v>769</v>
      </c>
      <c r="B25" t="s">
        <v>809</v>
      </c>
      <c r="C25" s="10">
        <v>0.25633699999999998</v>
      </c>
      <c r="D25" s="10">
        <v>0.25633699999999998</v>
      </c>
      <c r="E25" s="10">
        <v>0.25633699999999998</v>
      </c>
      <c r="F25" s="10">
        <v>0.25633699999999998</v>
      </c>
      <c r="G25" s="10">
        <f t="shared" si="0"/>
        <v>0.25</v>
      </c>
      <c r="H25" s="10">
        <f t="shared" si="5"/>
        <v>0.25</v>
      </c>
      <c r="I25" s="10">
        <f t="shared" si="6"/>
        <v>0.25</v>
      </c>
      <c r="J25" s="10">
        <f t="shared" si="7"/>
        <v>0.25</v>
      </c>
    </row>
    <row r="26" spans="1:10" x14ac:dyDescent="0.3">
      <c r="A26" t="s">
        <v>770</v>
      </c>
      <c r="B26" t="s">
        <v>810</v>
      </c>
      <c r="C26" s="10">
        <v>0.208511</v>
      </c>
      <c r="D26" s="10">
        <v>0.208511</v>
      </c>
      <c r="E26" s="10">
        <v>0.208511</v>
      </c>
      <c r="F26" s="10">
        <v>0.208511</v>
      </c>
      <c r="G26" s="10">
        <f t="shared" si="0"/>
        <v>0.25</v>
      </c>
      <c r="H26" s="10">
        <f t="shared" si="5"/>
        <v>0.25</v>
      </c>
      <c r="I26" s="10">
        <f t="shared" si="6"/>
        <v>0.25</v>
      </c>
      <c r="J26" s="10">
        <f t="shared" si="7"/>
        <v>0.25</v>
      </c>
    </row>
    <row r="27" spans="1:10" ht="15" thickBot="1" x14ac:dyDescent="0.35">
      <c r="A27" t="s">
        <v>771</v>
      </c>
      <c r="B27" t="s">
        <v>811</v>
      </c>
      <c r="C27" s="10">
        <v>0.19170100000000001</v>
      </c>
      <c r="D27" s="10">
        <v>0.19170100000000001</v>
      </c>
      <c r="E27" s="10">
        <v>0.19170100000000001</v>
      </c>
      <c r="F27" s="10">
        <v>0.19170100000000001</v>
      </c>
      <c r="G27" s="10">
        <f t="shared" si="0"/>
        <v>0.25</v>
      </c>
      <c r="H27" s="10">
        <f t="shared" si="5"/>
        <v>0.25</v>
      </c>
      <c r="I27" s="10">
        <f t="shared" si="6"/>
        <v>0.25</v>
      </c>
      <c r="J27" s="10">
        <f t="shared" si="7"/>
        <v>0.25</v>
      </c>
    </row>
    <row r="28" spans="1:10" s="13" customFormat="1" x14ac:dyDescent="0.3">
      <c r="A28" s="11" t="s">
        <v>772</v>
      </c>
      <c r="B28" s="13" t="s">
        <v>812</v>
      </c>
      <c r="C28" s="12">
        <v>0.24034</v>
      </c>
      <c r="D28" s="12">
        <v>0.24034</v>
      </c>
      <c r="E28" s="12">
        <v>0.24034</v>
      </c>
      <c r="F28" s="12">
        <v>0.24034</v>
      </c>
      <c r="G28" s="12">
        <f t="shared" si="0"/>
        <v>0.25</v>
      </c>
      <c r="H28" s="12">
        <f t="shared" si="5"/>
        <v>0.25</v>
      </c>
      <c r="I28" s="12">
        <f t="shared" si="6"/>
        <v>0.25</v>
      </c>
      <c r="J28" s="12">
        <f t="shared" si="7"/>
        <v>0.25</v>
      </c>
    </row>
    <row r="29" spans="1:10" x14ac:dyDescent="0.3">
      <c r="A29" s="14" t="s">
        <v>773</v>
      </c>
      <c r="B29" t="s">
        <v>813</v>
      </c>
      <c r="C29" s="15">
        <v>0.233844</v>
      </c>
      <c r="D29" s="15">
        <v>0.233844</v>
      </c>
      <c r="E29" s="15">
        <v>0.233844</v>
      </c>
      <c r="F29" s="15">
        <v>0.233844</v>
      </c>
      <c r="G29" s="15">
        <f t="shared" si="0"/>
        <v>0.25</v>
      </c>
      <c r="H29" s="15">
        <f t="shared" si="5"/>
        <v>0.25</v>
      </c>
      <c r="I29" s="15">
        <f t="shared" si="6"/>
        <v>0.25</v>
      </c>
      <c r="J29" s="15">
        <f t="shared" si="7"/>
        <v>0.25</v>
      </c>
    </row>
    <row r="30" spans="1:10" s="18" customFormat="1" ht="15" thickBot="1" x14ac:dyDescent="0.35">
      <c r="A30" s="16" t="s">
        <v>774</v>
      </c>
      <c r="B30" s="18" t="s">
        <v>814</v>
      </c>
      <c r="C30" s="17">
        <v>0.40205000000000002</v>
      </c>
      <c r="D30" s="17">
        <v>0.40205000000000002</v>
      </c>
      <c r="E30" s="17">
        <v>0.40205000000000002</v>
      </c>
      <c r="F30" s="17">
        <v>0.40205000000000002</v>
      </c>
      <c r="G30" s="17">
        <f t="shared" si="0"/>
        <v>0.25</v>
      </c>
      <c r="H30" s="17">
        <f t="shared" si="5"/>
        <v>0.25</v>
      </c>
      <c r="I30" s="17">
        <f t="shared" si="6"/>
        <v>0.25</v>
      </c>
      <c r="J30" s="17">
        <f t="shared" si="7"/>
        <v>0.25</v>
      </c>
    </row>
    <row r="31" spans="1:10" x14ac:dyDescent="0.3">
      <c r="A31" t="s">
        <v>775</v>
      </c>
      <c r="B31" t="s">
        <v>815</v>
      </c>
      <c r="C31" s="10">
        <v>0.22568099999999999</v>
      </c>
      <c r="D31" s="10">
        <v>0.22568099999999999</v>
      </c>
      <c r="E31" s="10">
        <v>0.22568099999999999</v>
      </c>
      <c r="F31" s="10">
        <v>0.22568099999999999</v>
      </c>
      <c r="G31" s="10">
        <f t="shared" si="0"/>
        <v>0.25</v>
      </c>
      <c r="H31" s="10">
        <f t="shared" si="5"/>
        <v>0.25</v>
      </c>
      <c r="I31" s="10">
        <f t="shared" si="6"/>
        <v>0.25</v>
      </c>
      <c r="J31" s="10">
        <f t="shared" si="7"/>
        <v>0.25</v>
      </c>
    </row>
    <row r="32" spans="1:10" x14ac:dyDescent="0.3">
      <c r="A32" t="s">
        <v>776</v>
      </c>
      <c r="B32" t="s">
        <v>816</v>
      </c>
      <c r="C32" s="10">
        <v>0.118976</v>
      </c>
      <c r="D32" s="10">
        <v>0.118976</v>
      </c>
      <c r="E32" s="10">
        <v>0.118976</v>
      </c>
      <c r="F32" s="10">
        <v>0.118976</v>
      </c>
      <c r="G32" s="10">
        <f t="shared" si="0"/>
        <v>0.25</v>
      </c>
      <c r="H32" s="10">
        <f t="shared" si="5"/>
        <v>0.25</v>
      </c>
      <c r="I32" s="10">
        <f t="shared" si="6"/>
        <v>0.25</v>
      </c>
      <c r="J32" s="10">
        <f t="shared" si="7"/>
        <v>0.25</v>
      </c>
    </row>
    <row r="33" spans="1:10" ht="15" thickBot="1" x14ac:dyDescent="0.35">
      <c r="A33" t="s">
        <v>777</v>
      </c>
      <c r="B33" t="s">
        <v>817</v>
      </c>
      <c r="C33" s="10">
        <v>0.1</v>
      </c>
      <c r="D33" s="10">
        <v>0.1</v>
      </c>
      <c r="E33" s="10">
        <v>0.1</v>
      </c>
      <c r="F33" s="10">
        <v>0.1</v>
      </c>
      <c r="G33" s="10">
        <f t="shared" si="0"/>
        <v>0.25</v>
      </c>
      <c r="H33" s="10">
        <f t="shared" si="5"/>
        <v>0.25</v>
      </c>
      <c r="I33" s="10">
        <f t="shared" si="6"/>
        <v>0.25</v>
      </c>
      <c r="J33" s="10">
        <f t="shared" si="7"/>
        <v>0.25</v>
      </c>
    </row>
    <row r="34" spans="1:10" s="13" customFormat="1" x14ac:dyDescent="0.3">
      <c r="A34" s="11" t="s">
        <v>778</v>
      </c>
      <c r="B34" s="13" t="s">
        <v>818</v>
      </c>
      <c r="C34" s="12">
        <v>0.41618699999999997</v>
      </c>
      <c r="D34" s="12">
        <v>0.41618699999999997</v>
      </c>
      <c r="E34" s="12">
        <v>0.41618699999999997</v>
      </c>
      <c r="F34" s="12">
        <v>0.41618699999999997</v>
      </c>
      <c r="G34" s="12">
        <f t="shared" si="0"/>
        <v>0.25</v>
      </c>
      <c r="H34" s="12">
        <f t="shared" si="5"/>
        <v>0.25</v>
      </c>
      <c r="I34" s="12">
        <f t="shared" si="6"/>
        <v>0.25</v>
      </c>
      <c r="J34" s="12">
        <f t="shared" si="7"/>
        <v>0.25</v>
      </c>
    </row>
    <row r="35" spans="1:10" x14ac:dyDescent="0.3">
      <c r="A35" s="14" t="s">
        <v>779</v>
      </c>
      <c r="B35" t="s">
        <v>819</v>
      </c>
      <c r="C35" s="15">
        <v>5.9598999999999999E-2</v>
      </c>
      <c r="D35" s="15">
        <v>5.9598999999999999E-2</v>
      </c>
      <c r="E35" s="15">
        <v>5.9598999999999999E-2</v>
      </c>
      <c r="F35" s="15">
        <v>5.9598999999999999E-2</v>
      </c>
      <c r="G35" s="15">
        <f t="shared" si="0"/>
        <v>0.25</v>
      </c>
      <c r="H35" s="15">
        <f t="shared" si="5"/>
        <v>0.25</v>
      </c>
      <c r="I35" s="15">
        <f t="shared" si="6"/>
        <v>0.25</v>
      </c>
      <c r="J35" s="15">
        <f t="shared" si="7"/>
        <v>0.25</v>
      </c>
    </row>
    <row r="36" spans="1:10" s="18" customFormat="1" ht="15" thickBot="1" x14ac:dyDescent="0.35">
      <c r="A36" s="16" t="s">
        <v>780</v>
      </c>
      <c r="B36" s="18" t="s">
        <v>820</v>
      </c>
      <c r="C36" s="17">
        <v>0.1</v>
      </c>
      <c r="D36" s="17">
        <v>0.1</v>
      </c>
      <c r="E36" s="17">
        <v>0.1</v>
      </c>
      <c r="F36" s="17">
        <v>0.1</v>
      </c>
      <c r="G36" s="17">
        <f t="shared" si="0"/>
        <v>0.25</v>
      </c>
      <c r="H36" s="17">
        <f t="shared" si="5"/>
        <v>0.25</v>
      </c>
      <c r="I36" s="17">
        <f t="shared" si="6"/>
        <v>0.25</v>
      </c>
      <c r="J36" s="17">
        <f t="shared" si="7"/>
        <v>0.25</v>
      </c>
    </row>
    <row r="37" spans="1:10" x14ac:dyDescent="0.3">
      <c r="A37" t="s">
        <v>781</v>
      </c>
      <c r="B37" t="s">
        <v>821</v>
      </c>
      <c r="C37" s="10">
        <v>0.33598099999999997</v>
      </c>
      <c r="D37" s="10">
        <v>0.33598099999999997</v>
      </c>
      <c r="E37" s="10">
        <v>0.33598099999999997</v>
      </c>
      <c r="F37" s="10">
        <v>0.33598099999999997</v>
      </c>
      <c r="G37" s="10">
        <f t="shared" si="0"/>
        <v>0.25</v>
      </c>
      <c r="H37" s="10">
        <f t="shared" si="5"/>
        <v>0.25</v>
      </c>
      <c r="I37" s="10">
        <f t="shared" si="6"/>
        <v>0.25</v>
      </c>
      <c r="J37" s="10">
        <f t="shared" si="7"/>
        <v>0.25</v>
      </c>
    </row>
    <row r="38" spans="1:10" x14ac:dyDescent="0.3">
      <c r="A38" t="s">
        <v>782</v>
      </c>
      <c r="B38" t="s">
        <v>822</v>
      </c>
      <c r="C38" s="10">
        <v>0.33538899999999999</v>
      </c>
      <c r="D38" s="10">
        <v>0.33538899999999999</v>
      </c>
      <c r="E38" s="10">
        <v>0.33538899999999999</v>
      </c>
      <c r="F38" s="10">
        <v>0.33538899999999999</v>
      </c>
      <c r="G38" s="10">
        <f t="shared" si="0"/>
        <v>0.25</v>
      </c>
      <c r="H38" s="10">
        <f t="shared" si="5"/>
        <v>0.25</v>
      </c>
      <c r="I38" s="10">
        <f t="shared" si="6"/>
        <v>0.25</v>
      </c>
      <c r="J38" s="10">
        <f t="shared" si="7"/>
        <v>0.25</v>
      </c>
    </row>
    <row r="39" spans="1:10" ht="15" thickBot="1" x14ac:dyDescent="0.35">
      <c r="A39" t="s">
        <v>783</v>
      </c>
      <c r="B39" t="s">
        <v>823</v>
      </c>
      <c r="C39" s="10">
        <v>0.37784200000000001</v>
      </c>
      <c r="D39" s="10">
        <v>0.37784200000000001</v>
      </c>
      <c r="E39" s="10">
        <v>0.37784200000000001</v>
      </c>
      <c r="F39" s="10">
        <v>0.37784200000000001</v>
      </c>
      <c r="G39" s="10">
        <f t="shared" si="0"/>
        <v>0.25</v>
      </c>
      <c r="H39" s="10">
        <f t="shared" si="5"/>
        <v>0.25</v>
      </c>
      <c r="I39" s="10">
        <f t="shared" si="6"/>
        <v>0.25</v>
      </c>
      <c r="J39" s="10">
        <f t="shared" si="7"/>
        <v>0.25</v>
      </c>
    </row>
    <row r="40" spans="1:10" s="13" customFormat="1" x14ac:dyDescent="0.3">
      <c r="A40" s="11" t="s">
        <v>784</v>
      </c>
      <c r="B40" s="13" t="s">
        <v>824</v>
      </c>
      <c r="C40" s="12">
        <v>0.26314500000000002</v>
      </c>
      <c r="D40" s="12">
        <v>0.26314500000000002</v>
      </c>
      <c r="E40" s="12">
        <v>0.26314500000000002</v>
      </c>
      <c r="F40" s="12">
        <v>0.26314500000000002</v>
      </c>
      <c r="G40" s="12">
        <f t="shared" si="0"/>
        <v>0.25</v>
      </c>
      <c r="H40" s="12">
        <f t="shared" si="5"/>
        <v>0.25</v>
      </c>
      <c r="I40" s="12">
        <f t="shared" si="6"/>
        <v>0.25</v>
      </c>
      <c r="J40" s="12">
        <f t="shared" si="7"/>
        <v>0.25</v>
      </c>
    </row>
    <row r="41" spans="1:10" x14ac:dyDescent="0.3">
      <c r="A41" s="14" t="s">
        <v>785</v>
      </c>
      <c r="B41" t="s">
        <v>825</v>
      </c>
      <c r="C41" s="15">
        <v>0.19855999999999999</v>
      </c>
      <c r="D41" s="15">
        <v>0.19855999999999999</v>
      </c>
      <c r="E41" s="15">
        <v>0.19855999999999999</v>
      </c>
      <c r="F41" s="15">
        <v>0.19855999999999999</v>
      </c>
      <c r="G41" s="15">
        <f t="shared" si="0"/>
        <v>0.25</v>
      </c>
      <c r="H41" s="15">
        <f t="shared" si="5"/>
        <v>0.25</v>
      </c>
      <c r="I41" s="15">
        <f t="shared" si="6"/>
        <v>0.25</v>
      </c>
      <c r="J41" s="15">
        <f t="shared" si="7"/>
        <v>0.25</v>
      </c>
    </row>
    <row r="42" spans="1:10" s="18" customFormat="1" ht="15" thickBot="1" x14ac:dyDescent="0.35">
      <c r="A42" s="16" t="s">
        <v>786</v>
      </c>
      <c r="B42" s="18" t="s">
        <v>826</v>
      </c>
      <c r="C42" s="17">
        <v>0.18981200000000001</v>
      </c>
      <c r="D42" s="17">
        <v>0.18981200000000001</v>
      </c>
      <c r="E42" s="17">
        <v>0.18981200000000001</v>
      </c>
      <c r="F42" s="17">
        <v>0.18981200000000001</v>
      </c>
      <c r="G42" s="17">
        <f t="shared" si="0"/>
        <v>0.25</v>
      </c>
      <c r="H42" s="17">
        <f t="shared" si="5"/>
        <v>0.25</v>
      </c>
      <c r="I42" s="17">
        <f t="shared" si="6"/>
        <v>0.25</v>
      </c>
      <c r="J42" s="17">
        <f t="shared" si="7"/>
        <v>0.25</v>
      </c>
    </row>
  </sheetData>
  <conditionalFormatting sqref="C3:F4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8DF54-7C34-4BAC-B0C7-F0960AC8577B}">
  <sheetPr>
    <tabColor rgb="FFFFFF00"/>
  </sheetPr>
  <dimension ref="A1:AH126"/>
  <sheetViews>
    <sheetView workbookViewId="0">
      <pane xSplit="2" ySplit="1" topLeftCell="Z75" activePane="bottomRight" state="frozen"/>
      <selection pane="topRight" activeCell="C1" sqref="C1"/>
      <selection pane="bottomLeft" activeCell="A2" sqref="A2"/>
      <selection pane="bottomRight" activeCell="AE87" sqref="AE87"/>
    </sheetView>
  </sheetViews>
  <sheetFormatPr baseColWidth="10" defaultRowHeight="14.4" x14ac:dyDescent="0.3"/>
  <cols>
    <col min="1" max="1" width="14.6640625" customWidth="1"/>
    <col min="2" max="2" width="59.5546875" customWidth="1"/>
    <col min="3" max="3" width="10.109375" customWidth="1"/>
    <col min="5" max="5" width="20.109375" customWidth="1"/>
    <col min="6" max="6" width="15.109375" bestFit="1" customWidth="1"/>
    <col min="7" max="7" width="16.88671875" customWidth="1"/>
    <col min="8" max="8" width="11.21875" customWidth="1"/>
    <col min="9" max="10" width="9.88671875" bestFit="1" customWidth="1"/>
    <col min="11" max="12" width="10.77734375" bestFit="1" customWidth="1"/>
    <col min="13" max="13" width="13" bestFit="1" customWidth="1"/>
    <col min="22" max="22" width="18.109375" bestFit="1" customWidth="1"/>
    <col min="23" max="23" width="18.44140625" bestFit="1" customWidth="1"/>
    <col min="31" max="31" width="20.6640625" bestFit="1" customWidth="1"/>
    <col min="32" max="32" width="18.5546875" customWidth="1"/>
    <col min="33" max="33" width="24.33203125" customWidth="1"/>
    <col min="34" max="34" width="18.5546875" customWidth="1"/>
  </cols>
  <sheetData>
    <row r="1" spans="1:34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</row>
    <row r="2" spans="1:34" x14ac:dyDescent="0.3">
      <c r="A2" t="s">
        <v>37</v>
      </c>
      <c r="B2" t="s">
        <v>38</v>
      </c>
      <c r="C2">
        <v>1000</v>
      </c>
      <c r="D2">
        <v>1920</v>
      </c>
      <c r="E2" t="s">
        <v>39</v>
      </c>
      <c r="F2" t="s">
        <v>40</v>
      </c>
      <c r="G2" t="s">
        <v>41</v>
      </c>
      <c r="H2" t="s">
        <v>42</v>
      </c>
      <c r="I2" t="s">
        <v>43</v>
      </c>
      <c r="J2" t="s">
        <v>44</v>
      </c>
      <c r="K2" t="s">
        <v>45</v>
      </c>
      <c r="L2" t="s">
        <v>46</v>
      </c>
      <c r="M2" t="s">
        <v>47</v>
      </c>
      <c r="N2">
        <v>0.82</v>
      </c>
      <c r="O2">
        <v>0.82</v>
      </c>
      <c r="P2">
        <v>0.82</v>
      </c>
      <c r="Q2" t="b">
        <v>0</v>
      </c>
      <c r="R2">
        <v>0.16</v>
      </c>
      <c r="S2">
        <v>0.16</v>
      </c>
      <c r="T2">
        <v>0.16</v>
      </c>
      <c r="U2">
        <v>0.16</v>
      </c>
      <c r="V2" t="s">
        <v>48</v>
      </c>
      <c r="W2" t="s">
        <v>49</v>
      </c>
      <c r="X2" t="s">
        <v>50</v>
      </c>
      <c r="Y2" t="s">
        <v>51</v>
      </c>
      <c r="Z2" t="s">
        <v>52</v>
      </c>
      <c r="AA2" t="s">
        <v>53</v>
      </c>
      <c r="AB2" t="s">
        <v>54</v>
      </c>
      <c r="AC2" t="s">
        <v>55</v>
      </c>
      <c r="AD2" t="s">
        <v>56</v>
      </c>
      <c r="AE2" t="s">
        <v>57</v>
      </c>
      <c r="AF2" t="s">
        <v>58</v>
      </c>
      <c r="AG2" t="s">
        <v>59</v>
      </c>
      <c r="AH2" t="s">
        <v>60</v>
      </c>
    </row>
    <row r="3" spans="1:34" x14ac:dyDescent="0.3">
      <c r="A3" t="s">
        <v>61</v>
      </c>
      <c r="B3" t="s">
        <v>62</v>
      </c>
      <c r="C3">
        <v>1921</v>
      </c>
      <c r="D3">
        <v>1970</v>
      </c>
      <c r="E3" t="s">
        <v>63</v>
      </c>
      <c r="F3" t="s">
        <v>40</v>
      </c>
      <c r="G3" t="s">
        <v>41</v>
      </c>
      <c r="H3" t="s">
        <v>42</v>
      </c>
      <c r="I3" t="s">
        <v>43</v>
      </c>
      <c r="J3" t="s">
        <v>64</v>
      </c>
      <c r="K3" t="s">
        <v>65</v>
      </c>
      <c r="L3" t="s">
        <v>66</v>
      </c>
      <c r="M3" t="s">
        <v>67</v>
      </c>
      <c r="N3">
        <v>0.82</v>
      </c>
      <c r="O3">
        <v>0.82</v>
      </c>
      <c r="P3">
        <v>0.82</v>
      </c>
      <c r="Q3" t="b">
        <v>0</v>
      </c>
      <c r="R3">
        <v>0.21</v>
      </c>
      <c r="S3">
        <v>0.21</v>
      </c>
      <c r="T3">
        <v>0.21</v>
      </c>
      <c r="U3">
        <v>0.21</v>
      </c>
      <c r="V3" t="s">
        <v>48</v>
      </c>
      <c r="W3" t="s">
        <v>49</v>
      </c>
      <c r="X3" t="s">
        <v>50</v>
      </c>
      <c r="Y3" t="s">
        <v>51</v>
      </c>
      <c r="Z3" t="s">
        <v>52</v>
      </c>
      <c r="AA3" t="s">
        <v>53</v>
      </c>
      <c r="AB3" t="s">
        <v>54</v>
      </c>
      <c r="AC3" t="s">
        <v>55</v>
      </c>
      <c r="AD3" t="s">
        <v>56</v>
      </c>
      <c r="AE3" t="s">
        <v>57</v>
      </c>
      <c r="AF3" t="s">
        <v>58</v>
      </c>
      <c r="AG3" t="s">
        <v>59</v>
      </c>
      <c r="AH3" t="s">
        <v>60</v>
      </c>
    </row>
    <row r="4" spans="1:34" x14ac:dyDescent="0.3">
      <c r="A4" t="s">
        <v>68</v>
      </c>
      <c r="B4" t="s">
        <v>69</v>
      </c>
      <c r="C4">
        <v>1971</v>
      </c>
      <c r="D4">
        <v>1980</v>
      </c>
      <c r="E4" t="s">
        <v>63</v>
      </c>
      <c r="F4" t="s">
        <v>40</v>
      </c>
      <c r="G4" t="s">
        <v>41</v>
      </c>
      <c r="H4" t="s">
        <v>42</v>
      </c>
      <c r="I4" t="s">
        <v>43</v>
      </c>
      <c r="J4" t="s">
        <v>64</v>
      </c>
      <c r="K4" t="s">
        <v>65</v>
      </c>
      <c r="L4" t="s">
        <v>66</v>
      </c>
      <c r="M4" t="s">
        <v>67</v>
      </c>
      <c r="N4">
        <v>0.82</v>
      </c>
      <c r="O4">
        <v>0.82</v>
      </c>
      <c r="P4">
        <v>0.82</v>
      </c>
      <c r="Q4" t="b">
        <v>0</v>
      </c>
      <c r="R4">
        <v>0.25</v>
      </c>
      <c r="S4">
        <v>0.25</v>
      </c>
      <c r="T4">
        <v>0.25</v>
      </c>
      <c r="U4">
        <v>0.25</v>
      </c>
      <c r="V4" t="s">
        <v>48</v>
      </c>
      <c r="W4" t="s">
        <v>49</v>
      </c>
      <c r="X4" t="s">
        <v>50</v>
      </c>
      <c r="Y4" t="s">
        <v>51</v>
      </c>
      <c r="Z4" t="s">
        <v>52</v>
      </c>
      <c r="AA4" t="s">
        <v>53</v>
      </c>
      <c r="AB4" t="s">
        <v>54</v>
      </c>
      <c r="AC4" t="s">
        <v>55</v>
      </c>
      <c r="AD4" t="s">
        <v>56</v>
      </c>
      <c r="AE4" t="s">
        <v>57</v>
      </c>
      <c r="AF4" t="s">
        <v>58</v>
      </c>
      <c r="AG4" t="s">
        <v>59</v>
      </c>
      <c r="AH4" t="s">
        <v>60</v>
      </c>
    </row>
    <row r="5" spans="1:34" x14ac:dyDescent="0.3">
      <c r="A5" t="s">
        <v>70</v>
      </c>
      <c r="B5" t="s">
        <v>71</v>
      </c>
      <c r="C5">
        <v>1981</v>
      </c>
      <c r="D5">
        <v>2000</v>
      </c>
      <c r="E5" t="s">
        <v>39</v>
      </c>
      <c r="F5" t="s">
        <v>40</v>
      </c>
      <c r="G5" t="s">
        <v>72</v>
      </c>
      <c r="H5" t="s">
        <v>73</v>
      </c>
      <c r="I5" t="s">
        <v>43</v>
      </c>
      <c r="J5" t="s">
        <v>64</v>
      </c>
      <c r="K5" t="s">
        <v>65</v>
      </c>
      <c r="L5" t="s">
        <v>66</v>
      </c>
      <c r="M5" t="s">
        <v>67</v>
      </c>
      <c r="N5">
        <v>0.82</v>
      </c>
      <c r="O5">
        <v>0.82</v>
      </c>
      <c r="P5">
        <v>0.82</v>
      </c>
      <c r="Q5" t="b">
        <v>0</v>
      </c>
      <c r="R5">
        <v>0.21</v>
      </c>
      <c r="S5">
        <v>0.21</v>
      </c>
      <c r="T5">
        <v>0.21</v>
      </c>
      <c r="U5">
        <v>0.21</v>
      </c>
      <c r="V5" t="s">
        <v>48</v>
      </c>
      <c r="W5" t="s">
        <v>49</v>
      </c>
      <c r="X5" t="s">
        <v>50</v>
      </c>
      <c r="Y5" t="s">
        <v>51</v>
      </c>
      <c r="Z5" t="s">
        <v>52</v>
      </c>
      <c r="AA5" t="s">
        <v>53</v>
      </c>
      <c r="AB5" t="s">
        <v>54</v>
      </c>
      <c r="AC5" t="s">
        <v>55</v>
      </c>
      <c r="AD5" t="s">
        <v>56</v>
      </c>
      <c r="AE5" t="s">
        <v>57</v>
      </c>
      <c r="AF5" t="s">
        <v>58</v>
      </c>
      <c r="AG5" t="s">
        <v>59</v>
      </c>
      <c r="AH5" t="s">
        <v>60</v>
      </c>
    </row>
    <row r="6" spans="1:34" x14ac:dyDescent="0.3">
      <c r="A6" t="s">
        <v>74</v>
      </c>
      <c r="B6" t="s">
        <v>75</v>
      </c>
      <c r="C6">
        <v>2000</v>
      </c>
      <c r="D6">
        <v>2040</v>
      </c>
      <c r="E6" t="s">
        <v>39</v>
      </c>
      <c r="F6" t="s">
        <v>76</v>
      </c>
      <c r="G6" t="s">
        <v>72</v>
      </c>
      <c r="H6" t="s">
        <v>77</v>
      </c>
      <c r="I6" t="s">
        <v>43</v>
      </c>
      <c r="J6" t="s">
        <v>64</v>
      </c>
      <c r="K6" t="s">
        <v>65</v>
      </c>
      <c r="L6" t="s">
        <v>66</v>
      </c>
      <c r="M6" t="s">
        <v>67</v>
      </c>
      <c r="N6">
        <v>0.82</v>
      </c>
      <c r="O6">
        <v>0.82</v>
      </c>
      <c r="P6">
        <v>0.82</v>
      </c>
      <c r="Q6" t="b">
        <v>0</v>
      </c>
      <c r="R6">
        <v>0.15</v>
      </c>
      <c r="S6">
        <v>0.15</v>
      </c>
      <c r="T6">
        <v>0.15</v>
      </c>
      <c r="U6">
        <v>0.15</v>
      </c>
      <c r="V6" t="s">
        <v>78</v>
      </c>
      <c r="W6" t="s">
        <v>49</v>
      </c>
      <c r="X6" t="s">
        <v>50</v>
      </c>
      <c r="Y6" t="s">
        <v>79</v>
      </c>
      <c r="Z6" t="s">
        <v>52</v>
      </c>
      <c r="AA6" t="s">
        <v>53</v>
      </c>
      <c r="AB6" t="s">
        <v>54</v>
      </c>
      <c r="AC6" t="s">
        <v>55</v>
      </c>
      <c r="AD6" t="s">
        <v>56</v>
      </c>
      <c r="AE6" t="s">
        <v>80</v>
      </c>
      <c r="AF6" t="s">
        <v>81</v>
      </c>
      <c r="AG6" t="s">
        <v>59</v>
      </c>
      <c r="AH6" t="s">
        <v>60</v>
      </c>
    </row>
    <row r="7" spans="1:34" x14ac:dyDescent="0.3">
      <c r="A7" t="s">
        <v>82</v>
      </c>
      <c r="B7" t="s">
        <v>83</v>
      </c>
      <c r="C7">
        <v>2000</v>
      </c>
      <c r="D7">
        <v>2040</v>
      </c>
      <c r="E7" t="s">
        <v>39</v>
      </c>
      <c r="F7" t="s">
        <v>84</v>
      </c>
      <c r="G7" t="s">
        <v>85</v>
      </c>
      <c r="H7" t="s">
        <v>77</v>
      </c>
      <c r="I7" t="s">
        <v>43</v>
      </c>
      <c r="J7" t="s">
        <v>64</v>
      </c>
      <c r="K7" t="s">
        <v>65</v>
      </c>
      <c r="L7" t="s">
        <v>66</v>
      </c>
      <c r="M7" t="s">
        <v>67</v>
      </c>
      <c r="N7">
        <v>0.82</v>
      </c>
      <c r="O7">
        <v>0.82</v>
      </c>
      <c r="P7">
        <v>0.82</v>
      </c>
      <c r="Q7" t="b">
        <v>0</v>
      </c>
      <c r="R7">
        <v>0.15</v>
      </c>
      <c r="S7">
        <v>0.15</v>
      </c>
      <c r="T7">
        <v>0.15</v>
      </c>
      <c r="U7">
        <v>0.15</v>
      </c>
      <c r="V7" t="s">
        <v>78</v>
      </c>
      <c r="W7" t="s">
        <v>49</v>
      </c>
      <c r="X7" t="s">
        <v>50</v>
      </c>
      <c r="Y7" t="s">
        <v>86</v>
      </c>
      <c r="Z7" t="s">
        <v>87</v>
      </c>
      <c r="AA7" t="s">
        <v>53</v>
      </c>
      <c r="AB7" t="s">
        <v>54</v>
      </c>
      <c r="AC7" t="s">
        <v>55</v>
      </c>
      <c r="AD7" t="s">
        <v>56</v>
      </c>
      <c r="AE7" t="s">
        <v>80</v>
      </c>
      <c r="AF7" t="s">
        <v>81</v>
      </c>
      <c r="AG7" t="s">
        <v>59</v>
      </c>
      <c r="AH7" t="s">
        <v>60</v>
      </c>
    </row>
    <row r="8" spans="1:34" x14ac:dyDescent="0.3">
      <c r="A8" t="s">
        <v>842</v>
      </c>
      <c r="B8" t="s">
        <v>1567</v>
      </c>
      <c r="C8">
        <v>1800</v>
      </c>
      <c r="D8">
        <v>1919</v>
      </c>
      <c r="E8" t="s">
        <v>39</v>
      </c>
      <c r="F8" t="s">
        <v>838</v>
      </c>
      <c r="G8" t="s">
        <v>1118</v>
      </c>
      <c r="H8" t="s">
        <v>1397</v>
      </c>
      <c r="I8" t="s">
        <v>43</v>
      </c>
      <c r="J8" t="s">
        <v>1317</v>
      </c>
      <c r="K8" t="s">
        <v>1477</v>
      </c>
      <c r="L8" t="s">
        <v>1477</v>
      </c>
      <c r="M8" t="s">
        <v>423</v>
      </c>
      <c r="N8">
        <v>0.8</v>
      </c>
      <c r="O8">
        <v>0.8</v>
      </c>
      <c r="P8">
        <v>0.8</v>
      </c>
      <c r="Q8" t="b">
        <v>0</v>
      </c>
      <c r="R8" s="19">
        <v>3.3197511196939131E-2</v>
      </c>
      <c r="S8" s="19">
        <v>9.5020651155422423E-2</v>
      </c>
      <c r="T8" s="19">
        <v>7.8918866813656313E-2</v>
      </c>
      <c r="U8" s="19">
        <v>7.8918866813656313E-2</v>
      </c>
      <c r="V8" t="s">
        <v>48</v>
      </c>
      <c r="W8" t="s">
        <v>49</v>
      </c>
      <c r="X8" t="s">
        <v>50</v>
      </c>
      <c r="Y8" t="s">
        <v>51</v>
      </c>
      <c r="Z8" t="s">
        <v>52</v>
      </c>
      <c r="AA8" t="s">
        <v>53</v>
      </c>
      <c r="AB8" t="s">
        <v>1564</v>
      </c>
      <c r="AC8" t="s">
        <v>1565</v>
      </c>
      <c r="AD8" t="s">
        <v>56</v>
      </c>
      <c r="AE8" t="s">
        <v>621</v>
      </c>
      <c r="AF8" t="s">
        <v>641</v>
      </c>
      <c r="AG8" t="s">
        <v>59</v>
      </c>
      <c r="AH8" t="s">
        <v>60</v>
      </c>
    </row>
    <row r="9" spans="1:34" x14ac:dyDescent="0.3">
      <c r="A9" t="s">
        <v>844</v>
      </c>
      <c r="B9" t="s">
        <v>1568</v>
      </c>
      <c r="C9">
        <v>1800</v>
      </c>
      <c r="D9">
        <v>1919</v>
      </c>
      <c r="E9" t="s">
        <v>39</v>
      </c>
      <c r="F9" t="s">
        <v>40</v>
      </c>
      <c r="G9" t="s">
        <v>1119</v>
      </c>
      <c r="H9" t="s">
        <v>1398</v>
      </c>
      <c r="I9" t="s">
        <v>43</v>
      </c>
      <c r="J9" t="s">
        <v>1318</v>
      </c>
      <c r="K9" t="s">
        <v>1478</v>
      </c>
      <c r="L9" t="s">
        <v>1478</v>
      </c>
      <c r="M9" t="s">
        <v>47</v>
      </c>
      <c r="N9">
        <v>0.8</v>
      </c>
      <c r="O9">
        <v>0.8</v>
      </c>
      <c r="P9">
        <v>0.8</v>
      </c>
      <c r="Q9" t="b">
        <v>0</v>
      </c>
      <c r="R9" s="19">
        <v>3.3197511196939131E-2</v>
      </c>
      <c r="S9" s="19">
        <v>9.5020651155422423E-2</v>
      </c>
      <c r="T9" s="19">
        <v>7.8918866813656313E-2</v>
      </c>
      <c r="U9" s="19">
        <v>7.8918866813656313E-2</v>
      </c>
      <c r="V9" t="s">
        <v>48</v>
      </c>
      <c r="W9" t="s">
        <v>49</v>
      </c>
      <c r="X9" t="s">
        <v>50</v>
      </c>
      <c r="Y9" t="s">
        <v>51</v>
      </c>
      <c r="Z9" t="s">
        <v>52</v>
      </c>
      <c r="AA9" t="s">
        <v>53</v>
      </c>
      <c r="AB9" t="s">
        <v>1564</v>
      </c>
      <c r="AC9" t="s">
        <v>1565</v>
      </c>
      <c r="AD9" t="s">
        <v>56</v>
      </c>
      <c r="AE9" t="s">
        <v>621</v>
      </c>
      <c r="AF9" t="s">
        <v>641</v>
      </c>
      <c r="AG9" t="s">
        <v>59</v>
      </c>
      <c r="AH9" t="s">
        <v>60</v>
      </c>
    </row>
    <row r="10" spans="1:34" x14ac:dyDescent="0.3">
      <c r="A10" t="s">
        <v>845</v>
      </c>
      <c r="B10" t="s">
        <v>1569</v>
      </c>
      <c r="C10">
        <v>1800</v>
      </c>
      <c r="D10">
        <v>1919</v>
      </c>
      <c r="E10" t="s">
        <v>39</v>
      </c>
      <c r="F10" t="s">
        <v>841</v>
      </c>
      <c r="G10" t="s">
        <v>1120</v>
      </c>
      <c r="H10" t="s">
        <v>1399</v>
      </c>
      <c r="I10" t="s">
        <v>43</v>
      </c>
      <c r="J10" t="s">
        <v>1319</v>
      </c>
      <c r="K10" t="s">
        <v>1479</v>
      </c>
      <c r="L10" t="s">
        <v>1479</v>
      </c>
      <c r="M10" t="s">
        <v>47</v>
      </c>
      <c r="N10">
        <v>0.8</v>
      </c>
      <c r="O10">
        <v>0.8</v>
      </c>
      <c r="P10">
        <v>0.8</v>
      </c>
      <c r="Q10" t="b">
        <v>0</v>
      </c>
      <c r="R10" s="19">
        <v>3.3197511196939131E-2</v>
      </c>
      <c r="S10" s="19">
        <v>9.5020651155422423E-2</v>
      </c>
      <c r="T10" s="19">
        <v>7.8918866813656313E-2</v>
      </c>
      <c r="U10" s="19">
        <v>7.8918866813656313E-2</v>
      </c>
      <c r="V10" t="s">
        <v>78</v>
      </c>
      <c r="W10" t="s">
        <v>528</v>
      </c>
      <c r="X10" t="s">
        <v>50</v>
      </c>
      <c r="Y10" t="s">
        <v>79</v>
      </c>
      <c r="Z10" t="s">
        <v>87</v>
      </c>
      <c r="AA10" t="s">
        <v>53</v>
      </c>
      <c r="AB10" t="s">
        <v>1564</v>
      </c>
      <c r="AC10" t="s">
        <v>1565</v>
      </c>
      <c r="AD10" t="s">
        <v>56</v>
      </c>
      <c r="AE10" t="s">
        <v>621</v>
      </c>
      <c r="AF10" t="s">
        <v>641</v>
      </c>
      <c r="AG10" t="s">
        <v>589</v>
      </c>
      <c r="AH10" t="s">
        <v>60</v>
      </c>
    </row>
    <row r="11" spans="1:34" x14ac:dyDescent="0.3">
      <c r="A11" t="s">
        <v>846</v>
      </c>
      <c r="B11" t="s">
        <v>1570</v>
      </c>
      <c r="C11">
        <v>1920</v>
      </c>
      <c r="D11">
        <v>1944</v>
      </c>
      <c r="E11" t="s">
        <v>39</v>
      </c>
      <c r="F11" t="s">
        <v>838</v>
      </c>
      <c r="G11" t="s">
        <v>1121</v>
      </c>
      <c r="H11" t="s">
        <v>1400</v>
      </c>
      <c r="I11" t="s">
        <v>43</v>
      </c>
      <c r="J11" t="s">
        <v>1320</v>
      </c>
      <c r="K11" t="s">
        <v>1480</v>
      </c>
      <c r="L11" t="s">
        <v>1480</v>
      </c>
      <c r="M11" t="s">
        <v>423</v>
      </c>
      <c r="N11">
        <v>0.8</v>
      </c>
      <c r="O11">
        <v>0.8</v>
      </c>
      <c r="P11">
        <v>0.8</v>
      </c>
      <c r="Q11" t="b">
        <v>0</v>
      </c>
      <c r="R11" s="19">
        <v>2.6030081596745476E-2</v>
      </c>
      <c r="S11" s="19">
        <v>7.4505443744818572E-2</v>
      </c>
      <c r="T11" s="19">
        <v>6.1880076807431565E-2</v>
      </c>
      <c r="U11" s="19">
        <v>6.1880076807431565E-2</v>
      </c>
      <c r="V11" t="s">
        <v>48</v>
      </c>
      <c r="W11" t="s">
        <v>49</v>
      </c>
      <c r="X11" t="s">
        <v>50</v>
      </c>
      <c r="Y11" t="s">
        <v>51</v>
      </c>
      <c r="Z11" t="s">
        <v>52</v>
      </c>
      <c r="AA11" t="s">
        <v>53</v>
      </c>
      <c r="AB11" t="s">
        <v>1564</v>
      </c>
      <c r="AC11" t="s">
        <v>1565</v>
      </c>
      <c r="AD11" t="s">
        <v>56</v>
      </c>
      <c r="AE11" t="s">
        <v>80</v>
      </c>
      <c r="AF11" t="s">
        <v>81</v>
      </c>
      <c r="AG11" t="s">
        <v>59</v>
      </c>
      <c r="AH11" t="s">
        <v>60</v>
      </c>
    </row>
    <row r="12" spans="1:34" x14ac:dyDescent="0.3">
      <c r="A12" t="s">
        <v>858</v>
      </c>
      <c r="B12" t="s">
        <v>1571</v>
      </c>
      <c r="C12">
        <v>1920</v>
      </c>
      <c r="D12">
        <v>1944</v>
      </c>
      <c r="E12" t="s">
        <v>39</v>
      </c>
      <c r="F12" t="s">
        <v>40</v>
      </c>
      <c r="G12" t="s">
        <v>1122</v>
      </c>
      <c r="H12" t="s">
        <v>1401</v>
      </c>
      <c r="I12" t="s">
        <v>43</v>
      </c>
      <c r="J12" t="s">
        <v>1321</v>
      </c>
      <c r="K12" t="s">
        <v>1481</v>
      </c>
      <c r="L12" t="s">
        <v>1481</v>
      </c>
      <c r="M12" t="s">
        <v>47</v>
      </c>
      <c r="N12">
        <v>0.8</v>
      </c>
      <c r="O12">
        <v>0.8</v>
      </c>
      <c r="P12">
        <v>0.8</v>
      </c>
      <c r="Q12" t="b">
        <v>0</v>
      </c>
      <c r="R12" s="19">
        <v>2.6030081596745476E-2</v>
      </c>
      <c r="S12" s="19">
        <v>7.4505443744818572E-2</v>
      </c>
      <c r="T12" s="19">
        <v>6.1880076807431565E-2</v>
      </c>
      <c r="U12" s="19">
        <v>6.1880076807431565E-2</v>
      </c>
      <c r="V12" t="s">
        <v>48</v>
      </c>
      <c r="W12" t="s">
        <v>49</v>
      </c>
      <c r="X12" t="s">
        <v>50</v>
      </c>
      <c r="Y12" t="s">
        <v>51</v>
      </c>
      <c r="Z12" t="s">
        <v>52</v>
      </c>
      <c r="AA12" t="s">
        <v>53</v>
      </c>
      <c r="AB12" t="s">
        <v>1564</v>
      </c>
      <c r="AC12" t="s">
        <v>1565</v>
      </c>
      <c r="AD12" t="s">
        <v>56</v>
      </c>
      <c r="AE12" t="s">
        <v>80</v>
      </c>
      <c r="AF12" t="s">
        <v>81</v>
      </c>
      <c r="AG12" t="s">
        <v>59</v>
      </c>
      <c r="AH12" t="s">
        <v>60</v>
      </c>
    </row>
    <row r="13" spans="1:34" x14ac:dyDescent="0.3">
      <c r="A13" t="s">
        <v>862</v>
      </c>
      <c r="B13" t="s">
        <v>1572</v>
      </c>
      <c r="C13">
        <v>1920</v>
      </c>
      <c r="D13">
        <v>1944</v>
      </c>
      <c r="E13" t="s">
        <v>39</v>
      </c>
      <c r="F13" t="s">
        <v>841</v>
      </c>
      <c r="G13" t="s">
        <v>1123</v>
      </c>
      <c r="H13" t="s">
        <v>1402</v>
      </c>
      <c r="I13" t="s">
        <v>43</v>
      </c>
      <c r="J13" t="s">
        <v>1322</v>
      </c>
      <c r="K13" t="s">
        <v>1482</v>
      </c>
      <c r="L13" t="s">
        <v>1482</v>
      </c>
      <c r="M13" t="s">
        <v>47</v>
      </c>
      <c r="N13">
        <v>0.8</v>
      </c>
      <c r="O13">
        <v>0.8</v>
      </c>
      <c r="P13">
        <v>0.8</v>
      </c>
      <c r="Q13" t="b">
        <v>0</v>
      </c>
      <c r="R13" s="19">
        <v>2.6030081596745476E-2</v>
      </c>
      <c r="S13" s="19">
        <v>7.4505443744818572E-2</v>
      </c>
      <c r="T13" s="19">
        <v>6.1880076807431565E-2</v>
      </c>
      <c r="U13" s="19">
        <v>6.1880076807431565E-2</v>
      </c>
      <c r="V13" t="s">
        <v>78</v>
      </c>
      <c r="W13" t="s">
        <v>528</v>
      </c>
      <c r="X13" t="s">
        <v>50</v>
      </c>
      <c r="Y13" t="s">
        <v>79</v>
      </c>
      <c r="Z13" t="s">
        <v>87</v>
      </c>
      <c r="AA13" t="s">
        <v>53</v>
      </c>
      <c r="AB13" t="s">
        <v>1564</v>
      </c>
      <c r="AC13" t="s">
        <v>1565</v>
      </c>
      <c r="AD13" t="s">
        <v>56</v>
      </c>
      <c r="AE13" t="s">
        <v>80</v>
      </c>
      <c r="AF13" t="s">
        <v>81</v>
      </c>
      <c r="AG13" t="s">
        <v>589</v>
      </c>
      <c r="AH13" t="s">
        <v>60</v>
      </c>
    </row>
    <row r="14" spans="1:34" x14ac:dyDescent="0.3">
      <c r="A14" t="s">
        <v>847</v>
      </c>
      <c r="B14" t="s">
        <v>1573</v>
      </c>
      <c r="C14">
        <v>1945</v>
      </c>
      <c r="D14">
        <v>1959</v>
      </c>
      <c r="E14" t="s">
        <v>39</v>
      </c>
      <c r="F14" t="s">
        <v>838</v>
      </c>
      <c r="G14" t="s">
        <v>1124</v>
      </c>
      <c r="H14" t="s">
        <v>1403</v>
      </c>
      <c r="I14" t="s">
        <v>43</v>
      </c>
      <c r="J14" t="s">
        <v>1323</v>
      </c>
      <c r="K14" t="s">
        <v>1483</v>
      </c>
      <c r="L14" t="s">
        <v>1483</v>
      </c>
      <c r="M14" t="s">
        <v>423</v>
      </c>
      <c r="N14">
        <v>0.8</v>
      </c>
      <c r="O14">
        <v>0.8</v>
      </c>
      <c r="P14">
        <v>0.8</v>
      </c>
      <c r="Q14" t="b">
        <v>0</v>
      </c>
      <c r="R14" s="19">
        <v>4.4811512814637626E-2</v>
      </c>
      <c r="S14" s="19">
        <v>0.12826320327588353</v>
      </c>
      <c r="T14" s="19">
        <v>0.10652828130871778</v>
      </c>
      <c r="U14" s="19">
        <v>0.10652828130871778</v>
      </c>
      <c r="V14" t="s">
        <v>48</v>
      </c>
      <c r="W14" t="s">
        <v>49</v>
      </c>
      <c r="X14" t="s">
        <v>50</v>
      </c>
      <c r="Y14" t="s">
        <v>51</v>
      </c>
      <c r="Z14" t="s">
        <v>52</v>
      </c>
      <c r="AA14" t="s">
        <v>53</v>
      </c>
      <c r="AB14" t="s">
        <v>1564</v>
      </c>
      <c r="AC14" t="s">
        <v>1565</v>
      </c>
      <c r="AD14" t="s">
        <v>56</v>
      </c>
      <c r="AE14" t="s">
        <v>57</v>
      </c>
      <c r="AF14" t="s">
        <v>58</v>
      </c>
      <c r="AG14" t="s">
        <v>59</v>
      </c>
      <c r="AH14" t="s">
        <v>60</v>
      </c>
    </row>
    <row r="15" spans="1:34" x14ac:dyDescent="0.3">
      <c r="A15" t="s">
        <v>866</v>
      </c>
      <c r="B15" t="s">
        <v>1574</v>
      </c>
      <c r="C15">
        <v>1945</v>
      </c>
      <c r="D15">
        <v>1959</v>
      </c>
      <c r="E15" t="s">
        <v>39</v>
      </c>
      <c r="F15" t="s">
        <v>40</v>
      </c>
      <c r="G15" t="s">
        <v>1125</v>
      </c>
      <c r="H15" t="s">
        <v>1404</v>
      </c>
      <c r="I15" t="s">
        <v>43</v>
      </c>
      <c r="J15" t="s">
        <v>1324</v>
      </c>
      <c r="K15" t="s">
        <v>1484</v>
      </c>
      <c r="L15" t="s">
        <v>1484</v>
      </c>
      <c r="M15" t="s">
        <v>47</v>
      </c>
      <c r="N15">
        <v>0.8</v>
      </c>
      <c r="O15">
        <v>0.8</v>
      </c>
      <c r="P15">
        <v>0.8</v>
      </c>
      <c r="Q15" t="b">
        <v>0</v>
      </c>
      <c r="R15" s="19">
        <v>4.4811512814637626E-2</v>
      </c>
      <c r="S15" s="19">
        <v>0.12826320327588353</v>
      </c>
      <c r="T15" s="19">
        <v>0.10652828130871778</v>
      </c>
      <c r="U15" s="19">
        <v>0.10652828130871778</v>
      </c>
      <c r="V15" t="s">
        <v>48</v>
      </c>
      <c r="W15" t="s">
        <v>49</v>
      </c>
      <c r="X15" t="s">
        <v>50</v>
      </c>
      <c r="Y15" t="s">
        <v>51</v>
      </c>
      <c r="Z15" t="s">
        <v>52</v>
      </c>
      <c r="AA15" t="s">
        <v>53</v>
      </c>
      <c r="AB15" t="s">
        <v>1564</v>
      </c>
      <c r="AC15" t="s">
        <v>1565</v>
      </c>
      <c r="AD15" t="s">
        <v>56</v>
      </c>
      <c r="AE15" t="s">
        <v>57</v>
      </c>
      <c r="AF15" t="s">
        <v>58</v>
      </c>
      <c r="AG15" t="s">
        <v>59</v>
      </c>
      <c r="AH15" t="s">
        <v>60</v>
      </c>
    </row>
    <row r="16" spans="1:34" x14ac:dyDescent="0.3">
      <c r="A16" t="s">
        <v>867</v>
      </c>
      <c r="B16" t="s">
        <v>1575</v>
      </c>
      <c r="C16">
        <v>1945</v>
      </c>
      <c r="D16">
        <v>1959</v>
      </c>
      <c r="E16" t="s">
        <v>39</v>
      </c>
      <c r="F16" t="s">
        <v>841</v>
      </c>
      <c r="G16" t="s">
        <v>1126</v>
      </c>
      <c r="H16" t="s">
        <v>1405</v>
      </c>
      <c r="I16" t="s">
        <v>43</v>
      </c>
      <c r="J16" t="s">
        <v>1325</v>
      </c>
      <c r="K16" t="s">
        <v>1485</v>
      </c>
      <c r="L16" t="s">
        <v>1485</v>
      </c>
      <c r="M16" t="s">
        <v>47</v>
      </c>
      <c r="N16">
        <v>0.8</v>
      </c>
      <c r="O16">
        <v>0.8</v>
      </c>
      <c r="P16">
        <v>0.8</v>
      </c>
      <c r="Q16" t="b">
        <v>0</v>
      </c>
      <c r="R16" s="19">
        <v>4.4811512814637626E-2</v>
      </c>
      <c r="S16" s="19">
        <v>0.12826320327588353</v>
      </c>
      <c r="T16" s="19">
        <v>0.10652828130871778</v>
      </c>
      <c r="U16" s="19">
        <v>0.10652828130871778</v>
      </c>
      <c r="V16" t="s">
        <v>78</v>
      </c>
      <c r="W16" t="s">
        <v>528</v>
      </c>
      <c r="X16" t="s">
        <v>50</v>
      </c>
      <c r="Y16" t="s">
        <v>79</v>
      </c>
      <c r="Z16" t="s">
        <v>87</v>
      </c>
      <c r="AA16" t="s">
        <v>53</v>
      </c>
      <c r="AB16" t="s">
        <v>1564</v>
      </c>
      <c r="AC16" t="s">
        <v>1565</v>
      </c>
      <c r="AD16" t="s">
        <v>56</v>
      </c>
      <c r="AE16" t="s">
        <v>57</v>
      </c>
      <c r="AF16" t="s">
        <v>58</v>
      </c>
      <c r="AG16" t="s">
        <v>589</v>
      </c>
      <c r="AH16" t="s">
        <v>60</v>
      </c>
    </row>
    <row r="17" spans="1:34" x14ac:dyDescent="0.3">
      <c r="A17" t="s">
        <v>848</v>
      </c>
      <c r="B17" t="s">
        <v>1576</v>
      </c>
      <c r="C17">
        <v>1960</v>
      </c>
      <c r="D17">
        <v>1979</v>
      </c>
      <c r="E17" t="s">
        <v>39</v>
      </c>
      <c r="F17" t="s">
        <v>838</v>
      </c>
      <c r="G17" t="s">
        <v>1127</v>
      </c>
      <c r="H17" t="s">
        <v>1406</v>
      </c>
      <c r="I17" t="s">
        <v>43</v>
      </c>
      <c r="J17" t="s">
        <v>1326</v>
      </c>
      <c r="K17" t="s">
        <v>1486</v>
      </c>
      <c r="L17" t="s">
        <v>1486</v>
      </c>
      <c r="M17" t="s">
        <v>423</v>
      </c>
      <c r="N17">
        <v>0.8</v>
      </c>
      <c r="O17">
        <v>0.8</v>
      </c>
      <c r="P17">
        <v>0.8</v>
      </c>
      <c r="Q17" t="b">
        <v>0</v>
      </c>
      <c r="R17" s="19">
        <v>6.114339310532723E-2</v>
      </c>
      <c r="S17" s="19">
        <v>0.17500965636411447</v>
      </c>
      <c r="T17" s="19">
        <v>0.14535328472030937</v>
      </c>
      <c r="U17" s="19">
        <v>0.14535328472030937</v>
      </c>
      <c r="V17" t="s">
        <v>48</v>
      </c>
      <c r="W17" t="s">
        <v>49</v>
      </c>
      <c r="X17" t="s">
        <v>50</v>
      </c>
      <c r="Y17" t="s">
        <v>51</v>
      </c>
      <c r="Z17" t="s">
        <v>52</v>
      </c>
      <c r="AA17" t="s">
        <v>53</v>
      </c>
      <c r="AB17" t="s">
        <v>1564</v>
      </c>
      <c r="AC17" t="s">
        <v>1565</v>
      </c>
      <c r="AD17" t="s">
        <v>56</v>
      </c>
      <c r="AE17" t="s">
        <v>57</v>
      </c>
      <c r="AF17" t="s">
        <v>58</v>
      </c>
      <c r="AG17" t="s">
        <v>59</v>
      </c>
      <c r="AH17" t="s">
        <v>60</v>
      </c>
    </row>
    <row r="18" spans="1:34" x14ac:dyDescent="0.3">
      <c r="A18" t="s">
        <v>859</v>
      </c>
      <c r="B18" t="s">
        <v>1577</v>
      </c>
      <c r="C18">
        <v>1960</v>
      </c>
      <c r="D18">
        <v>1979</v>
      </c>
      <c r="E18" t="s">
        <v>39</v>
      </c>
      <c r="F18" t="s">
        <v>40</v>
      </c>
      <c r="G18" t="s">
        <v>1128</v>
      </c>
      <c r="H18" t="s">
        <v>1407</v>
      </c>
      <c r="I18" t="s">
        <v>43</v>
      </c>
      <c r="J18" t="s">
        <v>1327</v>
      </c>
      <c r="K18" t="s">
        <v>1487</v>
      </c>
      <c r="L18" t="s">
        <v>1487</v>
      </c>
      <c r="M18" t="s">
        <v>47</v>
      </c>
      <c r="N18">
        <v>0.8</v>
      </c>
      <c r="O18">
        <v>0.8</v>
      </c>
      <c r="P18">
        <v>0.8</v>
      </c>
      <c r="Q18" t="b">
        <v>0</v>
      </c>
      <c r="R18" s="19">
        <v>6.114339310532723E-2</v>
      </c>
      <c r="S18" s="19">
        <v>0.17500965636411447</v>
      </c>
      <c r="T18" s="19">
        <v>0.14535328472030937</v>
      </c>
      <c r="U18" s="19">
        <v>0.14535328472030937</v>
      </c>
      <c r="V18" t="s">
        <v>48</v>
      </c>
      <c r="W18" t="s">
        <v>49</v>
      </c>
      <c r="X18" t="s">
        <v>50</v>
      </c>
      <c r="Y18" t="s">
        <v>51</v>
      </c>
      <c r="Z18" t="s">
        <v>52</v>
      </c>
      <c r="AA18" t="s">
        <v>53</v>
      </c>
      <c r="AB18" t="s">
        <v>1564</v>
      </c>
      <c r="AC18" t="s">
        <v>1565</v>
      </c>
      <c r="AD18" t="s">
        <v>56</v>
      </c>
      <c r="AE18" t="s">
        <v>57</v>
      </c>
      <c r="AF18" t="s">
        <v>58</v>
      </c>
      <c r="AG18" t="s">
        <v>59</v>
      </c>
      <c r="AH18" t="s">
        <v>60</v>
      </c>
    </row>
    <row r="19" spans="1:34" x14ac:dyDescent="0.3">
      <c r="A19" t="s">
        <v>863</v>
      </c>
      <c r="B19" t="s">
        <v>1578</v>
      </c>
      <c r="C19">
        <v>1960</v>
      </c>
      <c r="D19">
        <v>1979</v>
      </c>
      <c r="E19" t="s">
        <v>39</v>
      </c>
      <c r="F19" t="s">
        <v>841</v>
      </c>
      <c r="G19" t="s">
        <v>1129</v>
      </c>
      <c r="H19" t="s">
        <v>1408</v>
      </c>
      <c r="I19" t="s">
        <v>43</v>
      </c>
      <c r="J19" t="s">
        <v>1328</v>
      </c>
      <c r="K19" t="s">
        <v>1488</v>
      </c>
      <c r="L19" t="s">
        <v>1488</v>
      </c>
      <c r="M19" t="s">
        <v>47</v>
      </c>
      <c r="N19">
        <v>0.8</v>
      </c>
      <c r="O19">
        <v>0.8</v>
      </c>
      <c r="P19">
        <v>0.8</v>
      </c>
      <c r="Q19" t="b">
        <v>0</v>
      </c>
      <c r="R19" s="19">
        <v>6.114339310532723E-2</v>
      </c>
      <c r="S19" s="19">
        <v>0.17500965636411447</v>
      </c>
      <c r="T19" s="19">
        <v>0.14535328472030937</v>
      </c>
      <c r="U19" s="19">
        <v>0.14535328472030937</v>
      </c>
      <c r="V19" t="s">
        <v>78</v>
      </c>
      <c r="W19" t="s">
        <v>528</v>
      </c>
      <c r="X19" t="s">
        <v>50</v>
      </c>
      <c r="Y19" t="s">
        <v>79</v>
      </c>
      <c r="Z19" t="s">
        <v>87</v>
      </c>
      <c r="AA19" t="s">
        <v>53</v>
      </c>
      <c r="AB19" t="s">
        <v>1564</v>
      </c>
      <c r="AC19" t="s">
        <v>1565</v>
      </c>
      <c r="AD19" t="s">
        <v>56</v>
      </c>
      <c r="AE19" t="s">
        <v>80</v>
      </c>
      <c r="AF19" t="s">
        <v>81</v>
      </c>
      <c r="AG19" t="s">
        <v>589</v>
      </c>
      <c r="AH19" t="s">
        <v>60</v>
      </c>
    </row>
    <row r="20" spans="1:34" x14ac:dyDescent="0.3">
      <c r="A20" t="s">
        <v>849</v>
      </c>
      <c r="B20" t="s">
        <v>1579</v>
      </c>
      <c r="C20">
        <v>1980</v>
      </c>
      <c r="D20">
        <v>1989</v>
      </c>
      <c r="E20" t="s">
        <v>39</v>
      </c>
      <c r="F20" t="s">
        <v>838</v>
      </c>
      <c r="G20" t="s">
        <v>1130</v>
      </c>
      <c r="H20" t="s">
        <v>1409</v>
      </c>
      <c r="I20" t="s">
        <v>43</v>
      </c>
      <c r="J20" t="s">
        <v>1329</v>
      </c>
      <c r="K20" t="s">
        <v>1489</v>
      </c>
      <c r="L20" t="s">
        <v>1489</v>
      </c>
      <c r="M20" t="s">
        <v>423</v>
      </c>
      <c r="N20">
        <v>0.8</v>
      </c>
      <c r="O20">
        <v>0.8</v>
      </c>
      <c r="P20">
        <v>0.8</v>
      </c>
      <c r="Q20" t="b">
        <v>0</v>
      </c>
      <c r="R20" s="19">
        <v>5.6803894321972755E-2</v>
      </c>
      <c r="S20" s="19">
        <v>0.1625887854850793</v>
      </c>
      <c r="T20" s="19">
        <v>0.13503720034609423</v>
      </c>
      <c r="U20" s="19">
        <v>0.13503720034609423</v>
      </c>
      <c r="V20" t="s">
        <v>48</v>
      </c>
      <c r="W20" t="s">
        <v>49</v>
      </c>
      <c r="X20" t="s">
        <v>50</v>
      </c>
      <c r="Y20" t="s">
        <v>51</v>
      </c>
      <c r="Z20" t="s">
        <v>52</v>
      </c>
      <c r="AA20" t="s">
        <v>53</v>
      </c>
      <c r="AB20" t="s">
        <v>1564</v>
      </c>
      <c r="AC20" t="s">
        <v>1565</v>
      </c>
      <c r="AD20" t="s">
        <v>56</v>
      </c>
      <c r="AE20" t="s">
        <v>57</v>
      </c>
      <c r="AF20" t="s">
        <v>58</v>
      </c>
      <c r="AG20" t="s">
        <v>59</v>
      </c>
      <c r="AH20" t="s">
        <v>60</v>
      </c>
    </row>
    <row r="21" spans="1:34" x14ac:dyDescent="0.3">
      <c r="A21" t="s">
        <v>874</v>
      </c>
      <c r="B21" t="s">
        <v>1580</v>
      </c>
      <c r="C21">
        <v>1980</v>
      </c>
      <c r="D21">
        <v>1989</v>
      </c>
      <c r="E21" t="s">
        <v>39</v>
      </c>
      <c r="F21" t="s">
        <v>40</v>
      </c>
      <c r="G21" t="s">
        <v>1131</v>
      </c>
      <c r="H21" t="s">
        <v>1410</v>
      </c>
      <c r="I21" t="s">
        <v>43</v>
      </c>
      <c r="J21" t="s">
        <v>1330</v>
      </c>
      <c r="K21" t="s">
        <v>1490</v>
      </c>
      <c r="L21" t="s">
        <v>1490</v>
      </c>
      <c r="M21" t="s">
        <v>47</v>
      </c>
      <c r="N21">
        <v>0.8</v>
      </c>
      <c r="O21">
        <v>0.8</v>
      </c>
      <c r="P21">
        <v>0.8</v>
      </c>
      <c r="Q21" t="b">
        <v>0</v>
      </c>
      <c r="R21" s="19">
        <v>5.6803894321972755E-2</v>
      </c>
      <c r="S21" s="19">
        <v>0.1625887854850793</v>
      </c>
      <c r="T21" s="19">
        <v>0.13503720034609423</v>
      </c>
      <c r="U21" s="19">
        <v>0.13503720034609423</v>
      </c>
      <c r="V21" t="s">
        <v>48</v>
      </c>
      <c r="W21" t="s">
        <v>49</v>
      </c>
      <c r="X21" t="s">
        <v>50</v>
      </c>
      <c r="Y21" t="s">
        <v>51</v>
      </c>
      <c r="Z21" t="s">
        <v>52</v>
      </c>
      <c r="AA21" t="s">
        <v>53</v>
      </c>
      <c r="AB21" t="s">
        <v>1564</v>
      </c>
      <c r="AC21" t="s">
        <v>1565</v>
      </c>
      <c r="AD21" t="s">
        <v>56</v>
      </c>
      <c r="AE21" t="s">
        <v>57</v>
      </c>
      <c r="AF21" t="s">
        <v>58</v>
      </c>
      <c r="AG21" t="s">
        <v>59</v>
      </c>
      <c r="AH21" t="s">
        <v>60</v>
      </c>
    </row>
    <row r="22" spans="1:34" x14ac:dyDescent="0.3">
      <c r="A22" t="s">
        <v>875</v>
      </c>
      <c r="B22" t="s">
        <v>1581</v>
      </c>
      <c r="C22">
        <v>1980</v>
      </c>
      <c r="D22">
        <v>1989</v>
      </c>
      <c r="E22" t="s">
        <v>39</v>
      </c>
      <c r="F22" t="s">
        <v>841</v>
      </c>
      <c r="G22" t="s">
        <v>1132</v>
      </c>
      <c r="H22" t="s">
        <v>1411</v>
      </c>
      <c r="I22" t="s">
        <v>43</v>
      </c>
      <c r="J22" t="s">
        <v>1331</v>
      </c>
      <c r="K22" t="s">
        <v>1491</v>
      </c>
      <c r="L22" t="s">
        <v>1491</v>
      </c>
      <c r="M22" t="s">
        <v>47</v>
      </c>
      <c r="N22">
        <v>0.8</v>
      </c>
      <c r="O22">
        <v>0.8</v>
      </c>
      <c r="P22">
        <v>0.8</v>
      </c>
      <c r="Q22" t="b">
        <v>0</v>
      </c>
      <c r="R22" s="19">
        <v>5.6803894321972755E-2</v>
      </c>
      <c r="S22" s="19">
        <v>0.1625887854850793</v>
      </c>
      <c r="T22" s="19">
        <v>0.13503720034609423</v>
      </c>
      <c r="U22" s="19">
        <v>0.13503720034609423</v>
      </c>
      <c r="V22" t="s">
        <v>78</v>
      </c>
      <c r="W22" t="s">
        <v>528</v>
      </c>
      <c r="X22" t="s">
        <v>50</v>
      </c>
      <c r="Y22" t="s">
        <v>79</v>
      </c>
      <c r="Z22" t="s">
        <v>87</v>
      </c>
      <c r="AA22" t="s">
        <v>53</v>
      </c>
      <c r="AB22" t="s">
        <v>1564</v>
      </c>
      <c r="AC22" t="s">
        <v>1565</v>
      </c>
      <c r="AD22" t="s">
        <v>56</v>
      </c>
      <c r="AE22" t="s">
        <v>80</v>
      </c>
      <c r="AF22" t="s">
        <v>81</v>
      </c>
      <c r="AG22" t="s">
        <v>589</v>
      </c>
      <c r="AH22" t="s">
        <v>60</v>
      </c>
    </row>
    <row r="23" spans="1:34" x14ac:dyDescent="0.3">
      <c r="A23" t="s">
        <v>850</v>
      </c>
      <c r="B23" t="s">
        <v>1582</v>
      </c>
      <c r="C23">
        <v>1990</v>
      </c>
      <c r="D23">
        <v>1999</v>
      </c>
      <c r="E23" t="s">
        <v>39</v>
      </c>
      <c r="F23" t="s">
        <v>838</v>
      </c>
      <c r="G23" t="s">
        <v>1133</v>
      </c>
      <c r="H23" t="s">
        <v>1412</v>
      </c>
      <c r="I23" t="s">
        <v>43</v>
      </c>
      <c r="J23" t="s">
        <v>1332</v>
      </c>
      <c r="K23" t="s">
        <v>1492</v>
      </c>
      <c r="L23" t="s">
        <v>1492</v>
      </c>
      <c r="M23" t="s">
        <v>423</v>
      </c>
      <c r="N23">
        <v>0.8</v>
      </c>
      <c r="O23">
        <v>0.8</v>
      </c>
      <c r="P23">
        <v>0.8</v>
      </c>
      <c r="Q23" t="b">
        <v>0</v>
      </c>
      <c r="R23" s="19">
        <v>9.5680391778450516E-2</v>
      </c>
      <c r="S23" s="19">
        <v>0.2738642989126413</v>
      </c>
      <c r="T23" s="19">
        <v>0.22745645149863547</v>
      </c>
      <c r="U23" s="19">
        <v>0.22745645149863547</v>
      </c>
      <c r="V23" t="s">
        <v>48</v>
      </c>
      <c r="W23" t="s">
        <v>49</v>
      </c>
      <c r="X23" t="s">
        <v>50</v>
      </c>
      <c r="Y23" t="s">
        <v>51</v>
      </c>
      <c r="Z23" t="s">
        <v>52</v>
      </c>
      <c r="AA23" t="s">
        <v>53</v>
      </c>
      <c r="AB23" t="s">
        <v>1564</v>
      </c>
      <c r="AC23" t="s">
        <v>1565</v>
      </c>
      <c r="AD23" t="s">
        <v>56</v>
      </c>
      <c r="AE23" t="s">
        <v>57</v>
      </c>
      <c r="AF23" t="s">
        <v>58</v>
      </c>
      <c r="AG23" t="s">
        <v>59</v>
      </c>
      <c r="AH23" t="s">
        <v>60</v>
      </c>
    </row>
    <row r="24" spans="1:34" x14ac:dyDescent="0.3">
      <c r="A24" t="s">
        <v>860</v>
      </c>
      <c r="B24" t="s">
        <v>1583</v>
      </c>
      <c r="C24">
        <v>1990</v>
      </c>
      <c r="D24">
        <v>1999</v>
      </c>
      <c r="E24" t="s">
        <v>39</v>
      </c>
      <c r="F24" t="s">
        <v>40</v>
      </c>
      <c r="G24" t="s">
        <v>1134</v>
      </c>
      <c r="H24" t="s">
        <v>1413</v>
      </c>
      <c r="I24" t="s">
        <v>43</v>
      </c>
      <c r="J24" t="s">
        <v>1333</v>
      </c>
      <c r="K24" t="s">
        <v>1493</v>
      </c>
      <c r="L24" t="s">
        <v>1493</v>
      </c>
      <c r="M24" t="s">
        <v>47</v>
      </c>
      <c r="N24">
        <v>0.8</v>
      </c>
      <c r="O24">
        <v>0.8</v>
      </c>
      <c r="P24">
        <v>0.8</v>
      </c>
      <c r="Q24" t="b">
        <v>0</v>
      </c>
      <c r="R24" s="19">
        <v>9.5680391778450516E-2</v>
      </c>
      <c r="S24" s="19">
        <v>0.2738642989126413</v>
      </c>
      <c r="T24" s="19">
        <v>0.22745645149863547</v>
      </c>
      <c r="U24" s="19">
        <v>0.22745645149863547</v>
      </c>
      <c r="V24" t="s">
        <v>48</v>
      </c>
      <c r="W24" t="s">
        <v>49</v>
      </c>
      <c r="X24" t="s">
        <v>50</v>
      </c>
      <c r="Y24" t="s">
        <v>51</v>
      </c>
      <c r="Z24" t="s">
        <v>52</v>
      </c>
      <c r="AA24" t="s">
        <v>53</v>
      </c>
      <c r="AB24" t="s">
        <v>1564</v>
      </c>
      <c r="AC24" t="s">
        <v>1565</v>
      </c>
      <c r="AD24" t="s">
        <v>56</v>
      </c>
      <c r="AE24" t="s">
        <v>57</v>
      </c>
      <c r="AF24" t="s">
        <v>58</v>
      </c>
      <c r="AG24" t="s">
        <v>59</v>
      </c>
      <c r="AH24" t="s">
        <v>60</v>
      </c>
    </row>
    <row r="25" spans="1:34" x14ac:dyDescent="0.3">
      <c r="A25" t="s">
        <v>864</v>
      </c>
      <c r="B25" t="s">
        <v>1584</v>
      </c>
      <c r="C25">
        <v>1990</v>
      </c>
      <c r="D25">
        <v>1999</v>
      </c>
      <c r="E25" t="s">
        <v>39</v>
      </c>
      <c r="F25" t="s">
        <v>841</v>
      </c>
      <c r="G25" t="s">
        <v>1135</v>
      </c>
      <c r="H25" t="s">
        <v>1414</v>
      </c>
      <c r="I25" t="s">
        <v>43</v>
      </c>
      <c r="J25" t="s">
        <v>1334</v>
      </c>
      <c r="K25" t="s">
        <v>1494</v>
      </c>
      <c r="L25" t="s">
        <v>1494</v>
      </c>
      <c r="M25" t="s">
        <v>47</v>
      </c>
      <c r="N25">
        <v>0.8</v>
      </c>
      <c r="O25">
        <v>0.8</v>
      </c>
      <c r="P25">
        <v>0.8</v>
      </c>
      <c r="Q25" t="b">
        <v>0</v>
      </c>
      <c r="R25" s="19">
        <v>9.5680391778450516E-2</v>
      </c>
      <c r="S25" s="19">
        <v>0.2738642989126413</v>
      </c>
      <c r="T25" s="19">
        <v>0.22745645149863547</v>
      </c>
      <c r="U25" s="19">
        <v>0.22745645149863547</v>
      </c>
      <c r="V25" t="s">
        <v>78</v>
      </c>
      <c r="W25" t="s">
        <v>528</v>
      </c>
      <c r="X25" t="s">
        <v>50</v>
      </c>
      <c r="Y25" t="s">
        <v>79</v>
      </c>
      <c r="Z25" t="s">
        <v>87</v>
      </c>
      <c r="AA25" t="s">
        <v>53</v>
      </c>
      <c r="AB25" t="s">
        <v>1564</v>
      </c>
      <c r="AC25" t="s">
        <v>1565</v>
      </c>
      <c r="AD25" t="s">
        <v>56</v>
      </c>
      <c r="AE25" t="s">
        <v>80</v>
      </c>
      <c r="AF25" t="s">
        <v>81</v>
      </c>
      <c r="AG25" t="s">
        <v>589</v>
      </c>
      <c r="AH25" t="s">
        <v>60</v>
      </c>
    </row>
    <row r="26" spans="1:34" x14ac:dyDescent="0.3">
      <c r="A26" t="s">
        <v>851</v>
      </c>
      <c r="B26" t="s">
        <v>1585</v>
      </c>
      <c r="C26">
        <v>2000</v>
      </c>
      <c r="D26">
        <v>2020</v>
      </c>
      <c r="E26" t="s">
        <v>39</v>
      </c>
      <c r="F26" t="s">
        <v>40</v>
      </c>
      <c r="G26" t="s">
        <v>1136</v>
      </c>
      <c r="H26" t="s">
        <v>1415</v>
      </c>
      <c r="I26" t="s">
        <v>43</v>
      </c>
      <c r="J26" t="s">
        <v>1335</v>
      </c>
      <c r="K26" t="s">
        <v>1495</v>
      </c>
      <c r="L26" t="s">
        <v>1495</v>
      </c>
      <c r="M26" t="s">
        <v>47</v>
      </c>
      <c r="N26">
        <v>0.8</v>
      </c>
      <c r="O26">
        <v>0.8</v>
      </c>
      <c r="P26">
        <v>0.8</v>
      </c>
      <c r="Q26" t="b">
        <v>0</v>
      </c>
      <c r="R26" s="19">
        <v>5.7036671066506395E-2</v>
      </c>
      <c r="S26" s="19">
        <v>0.16325505825800526</v>
      </c>
      <c r="T26" s="19">
        <v>0.13559056944627126</v>
      </c>
      <c r="U26" s="19">
        <v>0.13559056944627126</v>
      </c>
      <c r="V26" t="s">
        <v>78</v>
      </c>
      <c r="W26" t="s">
        <v>528</v>
      </c>
      <c r="X26" t="s">
        <v>50</v>
      </c>
      <c r="Y26" t="s">
        <v>79</v>
      </c>
      <c r="Z26" t="s">
        <v>52</v>
      </c>
      <c r="AA26" t="s">
        <v>53</v>
      </c>
      <c r="AB26" t="s">
        <v>1564</v>
      </c>
      <c r="AC26" t="s">
        <v>1565</v>
      </c>
      <c r="AD26" t="s">
        <v>56</v>
      </c>
      <c r="AE26" t="s">
        <v>80</v>
      </c>
      <c r="AF26" t="s">
        <v>81</v>
      </c>
      <c r="AG26" t="s">
        <v>589</v>
      </c>
      <c r="AH26" t="s">
        <v>60</v>
      </c>
    </row>
    <row r="27" spans="1:34" x14ac:dyDescent="0.3">
      <c r="A27" t="s">
        <v>852</v>
      </c>
      <c r="B27" t="s">
        <v>1586</v>
      </c>
      <c r="C27">
        <v>2021</v>
      </c>
      <c r="D27">
        <v>2040</v>
      </c>
      <c r="E27" t="s">
        <v>39</v>
      </c>
      <c r="F27" t="s">
        <v>841</v>
      </c>
      <c r="G27" t="s">
        <v>1137</v>
      </c>
      <c r="H27" t="s">
        <v>1416</v>
      </c>
      <c r="I27" t="s">
        <v>43</v>
      </c>
      <c r="J27" t="s">
        <v>1336</v>
      </c>
      <c r="K27" t="s">
        <v>1496</v>
      </c>
      <c r="L27" t="s">
        <v>1496</v>
      </c>
      <c r="M27" t="s">
        <v>47</v>
      </c>
      <c r="N27">
        <v>0.8</v>
      </c>
      <c r="O27">
        <v>0.8</v>
      </c>
      <c r="P27">
        <v>0.8</v>
      </c>
      <c r="Q27" t="b">
        <v>0</v>
      </c>
      <c r="R27" s="19">
        <v>5.7099788948909137E-2</v>
      </c>
      <c r="S27" s="19">
        <v>0.16343571946028279</v>
      </c>
      <c r="T27" s="19">
        <v>0.13574061659062953</v>
      </c>
      <c r="U27" s="19">
        <v>0.13574061659062953</v>
      </c>
      <c r="V27" t="s">
        <v>78</v>
      </c>
      <c r="W27" t="s">
        <v>528</v>
      </c>
      <c r="X27" t="s">
        <v>50</v>
      </c>
      <c r="Y27" t="s">
        <v>79</v>
      </c>
      <c r="Z27" t="s">
        <v>87</v>
      </c>
      <c r="AA27" t="s">
        <v>53</v>
      </c>
      <c r="AB27" t="s">
        <v>1564</v>
      </c>
      <c r="AC27" t="s">
        <v>1565</v>
      </c>
      <c r="AD27" t="s">
        <v>56</v>
      </c>
      <c r="AE27" t="s">
        <v>627</v>
      </c>
      <c r="AF27" t="s">
        <v>643</v>
      </c>
      <c r="AG27" t="s">
        <v>589</v>
      </c>
      <c r="AH27" t="s">
        <v>60</v>
      </c>
    </row>
    <row r="28" spans="1:34" x14ac:dyDescent="0.3">
      <c r="A28" t="s">
        <v>843</v>
      </c>
      <c r="B28" t="s">
        <v>1587</v>
      </c>
      <c r="C28">
        <v>1800</v>
      </c>
      <c r="D28">
        <v>1919</v>
      </c>
      <c r="E28" t="s">
        <v>39</v>
      </c>
      <c r="F28" t="s">
        <v>838</v>
      </c>
      <c r="G28" t="s">
        <v>1138</v>
      </c>
      <c r="H28" t="s">
        <v>1417</v>
      </c>
      <c r="I28" t="s">
        <v>43</v>
      </c>
      <c r="J28" t="s">
        <v>1337</v>
      </c>
      <c r="K28" t="s">
        <v>1497</v>
      </c>
      <c r="L28" t="s">
        <v>1497</v>
      </c>
      <c r="M28" t="s">
        <v>423</v>
      </c>
      <c r="N28">
        <v>0.8</v>
      </c>
      <c r="O28">
        <v>0.8</v>
      </c>
      <c r="P28">
        <v>0.8</v>
      </c>
      <c r="Q28" t="b">
        <v>0</v>
      </c>
      <c r="R28" s="19">
        <v>4.5996430608280389E-2</v>
      </c>
      <c r="S28" s="19">
        <v>0.13165477259111469</v>
      </c>
      <c r="T28" s="19">
        <v>0.10934513010761951</v>
      </c>
      <c r="U28" s="19">
        <v>0.10934513010761951</v>
      </c>
      <c r="V28" t="s">
        <v>48</v>
      </c>
      <c r="W28" t="s">
        <v>49</v>
      </c>
      <c r="X28" t="s">
        <v>50</v>
      </c>
      <c r="Y28" t="s">
        <v>51</v>
      </c>
      <c r="Z28" t="s">
        <v>52</v>
      </c>
      <c r="AA28" t="s">
        <v>53</v>
      </c>
      <c r="AB28" t="s">
        <v>1564</v>
      </c>
      <c r="AC28" t="s">
        <v>1565</v>
      </c>
      <c r="AD28" t="s">
        <v>56</v>
      </c>
      <c r="AE28" t="s">
        <v>621</v>
      </c>
      <c r="AF28" t="s">
        <v>641</v>
      </c>
      <c r="AG28" t="s">
        <v>59</v>
      </c>
      <c r="AH28" t="s">
        <v>60</v>
      </c>
    </row>
    <row r="29" spans="1:34" x14ac:dyDescent="0.3">
      <c r="A29" t="s">
        <v>876</v>
      </c>
      <c r="B29" t="s">
        <v>1588</v>
      </c>
      <c r="C29">
        <v>1800</v>
      </c>
      <c r="D29">
        <v>1919</v>
      </c>
      <c r="E29" t="s">
        <v>39</v>
      </c>
      <c r="F29" t="s">
        <v>40</v>
      </c>
      <c r="G29" t="s">
        <v>1139</v>
      </c>
      <c r="H29" t="s">
        <v>1418</v>
      </c>
      <c r="I29" t="s">
        <v>43</v>
      </c>
      <c r="J29" t="s">
        <v>1338</v>
      </c>
      <c r="K29" t="s">
        <v>1498</v>
      </c>
      <c r="L29" t="s">
        <v>1498</v>
      </c>
      <c r="M29" t="s">
        <v>47</v>
      </c>
      <c r="N29">
        <v>0.8</v>
      </c>
      <c r="O29">
        <v>0.8</v>
      </c>
      <c r="P29">
        <v>0.8</v>
      </c>
      <c r="Q29" t="b">
        <v>0</v>
      </c>
      <c r="R29" s="19">
        <v>4.5996430608280389E-2</v>
      </c>
      <c r="S29" s="19">
        <v>0.13165477259111469</v>
      </c>
      <c r="T29" s="19">
        <v>0.10934513010761951</v>
      </c>
      <c r="U29" s="19">
        <v>0.10934513010761951</v>
      </c>
      <c r="V29" t="s">
        <v>48</v>
      </c>
      <c r="W29" t="s">
        <v>49</v>
      </c>
      <c r="X29" t="s">
        <v>50</v>
      </c>
      <c r="Y29" t="s">
        <v>51</v>
      </c>
      <c r="Z29" t="s">
        <v>52</v>
      </c>
      <c r="AA29" t="s">
        <v>53</v>
      </c>
      <c r="AB29" t="s">
        <v>1564</v>
      </c>
      <c r="AC29" t="s">
        <v>1565</v>
      </c>
      <c r="AD29" t="s">
        <v>56</v>
      </c>
      <c r="AE29" t="s">
        <v>621</v>
      </c>
      <c r="AF29" t="s">
        <v>641</v>
      </c>
      <c r="AG29" t="s">
        <v>59</v>
      </c>
      <c r="AH29" t="s">
        <v>60</v>
      </c>
    </row>
    <row r="30" spans="1:34" x14ac:dyDescent="0.3">
      <c r="A30" t="s">
        <v>877</v>
      </c>
      <c r="B30" t="s">
        <v>1589</v>
      </c>
      <c r="C30">
        <v>1800</v>
      </c>
      <c r="D30">
        <v>1919</v>
      </c>
      <c r="E30" t="s">
        <v>39</v>
      </c>
      <c r="F30" t="s">
        <v>841</v>
      </c>
      <c r="G30" t="s">
        <v>1140</v>
      </c>
      <c r="H30" t="s">
        <v>1419</v>
      </c>
      <c r="I30" t="s">
        <v>43</v>
      </c>
      <c r="J30" t="s">
        <v>1339</v>
      </c>
      <c r="K30" t="s">
        <v>1499</v>
      </c>
      <c r="L30" t="s">
        <v>1499</v>
      </c>
      <c r="M30" t="s">
        <v>47</v>
      </c>
      <c r="N30">
        <v>0.8</v>
      </c>
      <c r="O30">
        <v>0.8</v>
      </c>
      <c r="P30">
        <v>0.8</v>
      </c>
      <c r="Q30" t="b">
        <v>0</v>
      </c>
      <c r="R30" s="19">
        <v>4.5996430608280389E-2</v>
      </c>
      <c r="S30" s="19">
        <v>0.13165477259111469</v>
      </c>
      <c r="T30" s="19">
        <v>0.10934513010761951</v>
      </c>
      <c r="U30" s="19">
        <v>0.10934513010761951</v>
      </c>
      <c r="V30" t="s">
        <v>78</v>
      </c>
      <c r="W30" t="s">
        <v>528</v>
      </c>
      <c r="X30" t="s">
        <v>50</v>
      </c>
      <c r="Y30" t="s">
        <v>79</v>
      </c>
      <c r="Z30" t="s">
        <v>87</v>
      </c>
      <c r="AA30" t="s">
        <v>53</v>
      </c>
      <c r="AB30" t="s">
        <v>1564</v>
      </c>
      <c r="AC30" t="s">
        <v>1565</v>
      </c>
      <c r="AD30" t="s">
        <v>56</v>
      </c>
      <c r="AE30" t="s">
        <v>621</v>
      </c>
      <c r="AF30" t="s">
        <v>641</v>
      </c>
      <c r="AG30" t="s">
        <v>589</v>
      </c>
      <c r="AH30" t="s">
        <v>60</v>
      </c>
    </row>
    <row r="31" spans="1:34" x14ac:dyDescent="0.3">
      <c r="A31" t="s">
        <v>853</v>
      </c>
      <c r="B31" t="s">
        <v>1590</v>
      </c>
      <c r="C31">
        <v>1920</v>
      </c>
      <c r="D31">
        <v>1944</v>
      </c>
      <c r="E31" t="s">
        <v>39</v>
      </c>
      <c r="F31" t="s">
        <v>838</v>
      </c>
      <c r="G31" t="s">
        <v>1141</v>
      </c>
      <c r="H31" t="s">
        <v>1420</v>
      </c>
      <c r="I31" t="s">
        <v>43</v>
      </c>
      <c r="J31" t="s">
        <v>1340</v>
      </c>
      <c r="K31" t="s">
        <v>1500</v>
      </c>
      <c r="L31" t="s">
        <v>1500</v>
      </c>
      <c r="M31" t="s">
        <v>423</v>
      </c>
      <c r="N31">
        <v>0.8</v>
      </c>
      <c r="O31">
        <v>0.8</v>
      </c>
      <c r="P31">
        <v>0.8</v>
      </c>
      <c r="Q31" t="b">
        <v>0</v>
      </c>
      <c r="R31" s="19">
        <v>4.4573674905185913E-2</v>
      </c>
      <c r="S31" s="19">
        <v>0.1275824440198213</v>
      </c>
      <c r="T31" s="19">
        <v>0.10596288054153652</v>
      </c>
      <c r="U31" s="19">
        <v>0.10596288054153652</v>
      </c>
      <c r="V31" t="s">
        <v>48</v>
      </c>
      <c r="W31" t="s">
        <v>49</v>
      </c>
      <c r="X31" t="s">
        <v>50</v>
      </c>
      <c r="Y31" t="s">
        <v>51</v>
      </c>
      <c r="Z31" t="s">
        <v>52</v>
      </c>
      <c r="AA31" t="s">
        <v>53</v>
      </c>
      <c r="AB31" t="s">
        <v>1564</v>
      </c>
      <c r="AC31" t="s">
        <v>1565</v>
      </c>
      <c r="AD31" t="s">
        <v>56</v>
      </c>
      <c r="AE31" t="s">
        <v>80</v>
      </c>
      <c r="AF31" t="s">
        <v>81</v>
      </c>
      <c r="AG31" t="s">
        <v>59</v>
      </c>
      <c r="AH31" t="s">
        <v>60</v>
      </c>
    </row>
    <row r="32" spans="1:34" x14ac:dyDescent="0.3">
      <c r="A32" t="s">
        <v>868</v>
      </c>
      <c r="B32" t="s">
        <v>1591</v>
      </c>
      <c r="C32">
        <v>1920</v>
      </c>
      <c r="D32">
        <v>1944</v>
      </c>
      <c r="E32" t="s">
        <v>39</v>
      </c>
      <c r="F32" t="s">
        <v>40</v>
      </c>
      <c r="G32" t="s">
        <v>1142</v>
      </c>
      <c r="H32" t="s">
        <v>1421</v>
      </c>
      <c r="I32" t="s">
        <v>43</v>
      </c>
      <c r="J32" t="s">
        <v>1341</v>
      </c>
      <c r="K32" t="s">
        <v>1501</v>
      </c>
      <c r="L32" t="s">
        <v>1501</v>
      </c>
      <c r="M32" t="s">
        <v>47</v>
      </c>
      <c r="N32">
        <v>0.8</v>
      </c>
      <c r="O32">
        <v>0.8</v>
      </c>
      <c r="P32">
        <v>0.8</v>
      </c>
      <c r="Q32" t="b">
        <v>0</v>
      </c>
      <c r="R32" s="19">
        <v>4.4573674905185913E-2</v>
      </c>
      <c r="S32" s="19">
        <v>0.1275824440198213</v>
      </c>
      <c r="T32" s="19">
        <v>0.10596288054153652</v>
      </c>
      <c r="U32" s="19">
        <v>0.10596288054153652</v>
      </c>
      <c r="V32" t="s">
        <v>48</v>
      </c>
      <c r="W32" t="s">
        <v>49</v>
      </c>
      <c r="X32" t="s">
        <v>50</v>
      </c>
      <c r="Y32" t="s">
        <v>51</v>
      </c>
      <c r="Z32" t="s">
        <v>52</v>
      </c>
      <c r="AA32" t="s">
        <v>53</v>
      </c>
      <c r="AB32" t="s">
        <v>1564</v>
      </c>
      <c r="AC32" t="s">
        <v>1565</v>
      </c>
      <c r="AD32" t="s">
        <v>56</v>
      </c>
      <c r="AE32" t="s">
        <v>80</v>
      </c>
      <c r="AF32" t="s">
        <v>81</v>
      </c>
      <c r="AG32" t="s">
        <v>59</v>
      </c>
      <c r="AH32" t="s">
        <v>60</v>
      </c>
    </row>
    <row r="33" spans="1:34" x14ac:dyDescent="0.3">
      <c r="A33" t="s">
        <v>869</v>
      </c>
      <c r="B33" t="s">
        <v>1592</v>
      </c>
      <c r="C33">
        <v>1920</v>
      </c>
      <c r="D33">
        <v>1944</v>
      </c>
      <c r="E33" t="s">
        <v>39</v>
      </c>
      <c r="F33" t="s">
        <v>841</v>
      </c>
      <c r="G33" t="s">
        <v>1143</v>
      </c>
      <c r="H33" t="s">
        <v>1422</v>
      </c>
      <c r="I33" t="s">
        <v>43</v>
      </c>
      <c r="J33" t="s">
        <v>1342</v>
      </c>
      <c r="K33" t="s">
        <v>1502</v>
      </c>
      <c r="L33" t="s">
        <v>1502</v>
      </c>
      <c r="M33" t="s">
        <v>47</v>
      </c>
      <c r="N33">
        <v>0.8</v>
      </c>
      <c r="O33">
        <v>0.8</v>
      </c>
      <c r="P33">
        <v>0.8</v>
      </c>
      <c r="Q33" t="b">
        <v>0</v>
      </c>
      <c r="R33" s="19">
        <v>4.4573674905185913E-2</v>
      </c>
      <c r="S33" s="19">
        <v>0.1275824440198213</v>
      </c>
      <c r="T33" s="19">
        <v>0.10596288054153652</v>
      </c>
      <c r="U33" s="19">
        <v>0.10596288054153652</v>
      </c>
      <c r="V33" t="s">
        <v>78</v>
      </c>
      <c r="W33" t="s">
        <v>528</v>
      </c>
      <c r="X33" t="s">
        <v>50</v>
      </c>
      <c r="Y33" t="s">
        <v>79</v>
      </c>
      <c r="Z33" t="s">
        <v>87</v>
      </c>
      <c r="AA33" t="s">
        <v>53</v>
      </c>
      <c r="AB33" t="s">
        <v>1564</v>
      </c>
      <c r="AC33" t="s">
        <v>1565</v>
      </c>
      <c r="AD33" t="s">
        <v>56</v>
      </c>
      <c r="AE33" t="s">
        <v>80</v>
      </c>
      <c r="AF33" t="s">
        <v>81</v>
      </c>
      <c r="AG33" t="s">
        <v>589</v>
      </c>
      <c r="AH33" t="s">
        <v>60</v>
      </c>
    </row>
    <row r="34" spans="1:34" x14ac:dyDescent="0.3">
      <c r="A34" t="s">
        <v>854</v>
      </c>
      <c r="B34" t="s">
        <v>1593</v>
      </c>
      <c r="C34">
        <v>1945</v>
      </c>
      <c r="D34">
        <v>1959</v>
      </c>
      <c r="E34" t="s">
        <v>39</v>
      </c>
      <c r="F34" t="s">
        <v>838</v>
      </c>
      <c r="G34" t="s">
        <v>1144</v>
      </c>
      <c r="H34" t="s">
        <v>1423</v>
      </c>
      <c r="I34" t="s">
        <v>43</v>
      </c>
      <c r="J34" t="s">
        <v>1343</v>
      </c>
      <c r="K34" t="s">
        <v>1503</v>
      </c>
      <c r="L34" t="s">
        <v>1503</v>
      </c>
      <c r="M34" t="s">
        <v>423</v>
      </c>
      <c r="N34">
        <v>0.8</v>
      </c>
      <c r="O34">
        <v>0.8</v>
      </c>
      <c r="P34">
        <v>0.8</v>
      </c>
      <c r="Q34" t="b">
        <v>0</v>
      </c>
      <c r="R34" s="19">
        <v>5.5204502708961475E-2</v>
      </c>
      <c r="S34" s="19">
        <v>0.15801087506223815</v>
      </c>
      <c r="T34" s="19">
        <v>0.1312350426198321</v>
      </c>
      <c r="U34" s="19">
        <v>0.1312350426198321</v>
      </c>
      <c r="V34" t="s">
        <v>48</v>
      </c>
      <c r="W34" t="s">
        <v>49</v>
      </c>
      <c r="X34" t="s">
        <v>50</v>
      </c>
      <c r="Y34" t="s">
        <v>51</v>
      </c>
      <c r="Z34" t="s">
        <v>52</v>
      </c>
      <c r="AA34" t="s">
        <v>53</v>
      </c>
      <c r="AB34" t="s">
        <v>1564</v>
      </c>
      <c r="AC34" t="s">
        <v>1565</v>
      </c>
      <c r="AD34" t="s">
        <v>56</v>
      </c>
      <c r="AE34" t="s">
        <v>57</v>
      </c>
      <c r="AF34" t="s">
        <v>58</v>
      </c>
      <c r="AG34" t="s">
        <v>59</v>
      </c>
      <c r="AH34" t="s">
        <v>60</v>
      </c>
    </row>
    <row r="35" spans="1:34" x14ac:dyDescent="0.3">
      <c r="A35" t="s">
        <v>861</v>
      </c>
      <c r="B35" t="s">
        <v>1594</v>
      </c>
      <c r="C35">
        <v>1945</v>
      </c>
      <c r="D35">
        <v>1959</v>
      </c>
      <c r="E35" t="s">
        <v>39</v>
      </c>
      <c r="F35" t="s">
        <v>40</v>
      </c>
      <c r="G35" t="s">
        <v>1145</v>
      </c>
      <c r="H35" t="s">
        <v>1424</v>
      </c>
      <c r="I35" t="s">
        <v>43</v>
      </c>
      <c r="J35" t="s">
        <v>1344</v>
      </c>
      <c r="K35" t="s">
        <v>1504</v>
      </c>
      <c r="L35" t="s">
        <v>1504</v>
      </c>
      <c r="M35" t="s">
        <v>47</v>
      </c>
      <c r="N35">
        <v>0.8</v>
      </c>
      <c r="O35">
        <v>0.8</v>
      </c>
      <c r="P35">
        <v>0.8</v>
      </c>
      <c r="Q35" t="b">
        <v>0</v>
      </c>
      <c r="R35" s="19">
        <v>5.5204502708961475E-2</v>
      </c>
      <c r="S35" s="19">
        <v>0.15801087506223815</v>
      </c>
      <c r="T35" s="19">
        <v>0.1312350426198321</v>
      </c>
      <c r="U35" s="19">
        <v>0.1312350426198321</v>
      </c>
      <c r="V35" t="s">
        <v>48</v>
      </c>
      <c r="W35" t="s">
        <v>49</v>
      </c>
      <c r="X35" t="s">
        <v>50</v>
      </c>
      <c r="Y35" t="s">
        <v>51</v>
      </c>
      <c r="Z35" t="s">
        <v>52</v>
      </c>
      <c r="AA35" t="s">
        <v>53</v>
      </c>
      <c r="AB35" t="s">
        <v>1564</v>
      </c>
      <c r="AC35" t="s">
        <v>1565</v>
      </c>
      <c r="AD35" t="s">
        <v>56</v>
      </c>
      <c r="AE35" t="s">
        <v>57</v>
      </c>
      <c r="AF35" t="s">
        <v>58</v>
      </c>
      <c r="AG35" t="s">
        <v>59</v>
      </c>
      <c r="AH35" t="s">
        <v>60</v>
      </c>
    </row>
    <row r="36" spans="1:34" x14ac:dyDescent="0.3">
      <c r="A36" t="s">
        <v>865</v>
      </c>
      <c r="B36" t="s">
        <v>1595</v>
      </c>
      <c r="C36">
        <v>1945</v>
      </c>
      <c r="D36">
        <v>1959</v>
      </c>
      <c r="E36" t="s">
        <v>39</v>
      </c>
      <c r="F36" t="s">
        <v>841</v>
      </c>
      <c r="G36" t="s">
        <v>1146</v>
      </c>
      <c r="H36" t="s">
        <v>1425</v>
      </c>
      <c r="I36" t="s">
        <v>43</v>
      </c>
      <c r="J36" t="s">
        <v>1345</v>
      </c>
      <c r="K36" t="s">
        <v>1505</v>
      </c>
      <c r="L36" t="s">
        <v>1505</v>
      </c>
      <c r="M36" t="s">
        <v>47</v>
      </c>
      <c r="N36">
        <v>0.8</v>
      </c>
      <c r="O36">
        <v>0.8</v>
      </c>
      <c r="P36">
        <v>0.8</v>
      </c>
      <c r="Q36" t="b">
        <v>0</v>
      </c>
      <c r="R36" s="19">
        <v>5.5204502708961475E-2</v>
      </c>
      <c r="S36" s="19">
        <v>0.15801087506223815</v>
      </c>
      <c r="T36" s="19">
        <v>0.1312350426198321</v>
      </c>
      <c r="U36" s="19">
        <v>0.1312350426198321</v>
      </c>
      <c r="V36" t="s">
        <v>78</v>
      </c>
      <c r="W36" t="s">
        <v>528</v>
      </c>
      <c r="X36" t="s">
        <v>50</v>
      </c>
      <c r="Y36" t="s">
        <v>79</v>
      </c>
      <c r="Z36" t="s">
        <v>87</v>
      </c>
      <c r="AA36" t="s">
        <v>53</v>
      </c>
      <c r="AB36" t="s">
        <v>1564</v>
      </c>
      <c r="AC36" t="s">
        <v>1565</v>
      </c>
      <c r="AD36" t="s">
        <v>56</v>
      </c>
      <c r="AE36" t="s">
        <v>1561</v>
      </c>
      <c r="AF36" t="s">
        <v>1566</v>
      </c>
      <c r="AG36" t="s">
        <v>589</v>
      </c>
      <c r="AH36" t="s">
        <v>60</v>
      </c>
    </row>
    <row r="37" spans="1:34" x14ac:dyDescent="0.3">
      <c r="A37" t="s">
        <v>855</v>
      </c>
      <c r="B37" t="s">
        <v>1596</v>
      </c>
      <c r="C37">
        <v>1960</v>
      </c>
      <c r="D37">
        <v>1979</v>
      </c>
      <c r="E37" t="s">
        <v>39</v>
      </c>
      <c r="F37" t="s">
        <v>838</v>
      </c>
      <c r="G37" t="s">
        <v>1147</v>
      </c>
      <c r="H37" t="s">
        <v>1426</v>
      </c>
      <c r="I37" t="s">
        <v>43</v>
      </c>
      <c r="J37" t="s">
        <v>1346</v>
      </c>
      <c r="K37" t="s">
        <v>1506</v>
      </c>
      <c r="L37" t="s">
        <v>1506</v>
      </c>
      <c r="M37" t="s">
        <v>423</v>
      </c>
      <c r="N37">
        <v>0.8</v>
      </c>
      <c r="O37">
        <v>0.8</v>
      </c>
      <c r="P37">
        <v>0.8</v>
      </c>
      <c r="Q37" t="b">
        <v>0</v>
      </c>
      <c r="R37" s="19">
        <v>4.0996327582910184E-2</v>
      </c>
      <c r="S37" s="19">
        <v>0.11734306583405273</v>
      </c>
      <c r="T37" s="19">
        <v>9.7458622641055759E-2</v>
      </c>
      <c r="U37" s="19">
        <v>9.7458622641055759E-2</v>
      </c>
      <c r="V37" t="s">
        <v>48</v>
      </c>
      <c r="W37" t="s">
        <v>49</v>
      </c>
      <c r="X37" t="s">
        <v>50</v>
      </c>
      <c r="Y37" t="s">
        <v>51</v>
      </c>
      <c r="Z37" t="s">
        <v>52</v>
      </c>
      <c r="AA37" t="s">
        <v>53</v>
      </c>
      <c r="AB37" t="s">
        <v>1564</v>
      </c>
      <c r="AC37" t="s">
        <v>1565</v>
      </c>
      <c r="AD37" t="s">
        <v>56</v>
      </c>
      <c r="AE37" t="s">
        <v>57</v>
      </c>
      <c r="AF37" t="s">
        <v>58</v>
      </c>
      <c r="AG37" t="s">
        <v>59</v>
      </c>
      <c r="AH37" t="s">
        <v>60</v>
      </c>
    </row>
    <row r="38" spans="1:34" x14ac:dyDescent="0.3">
      <c r="A38" t="s">
        <v>870</v>
      </c>
      <c r="B38" t="s">
        <v>1597</v>
      </c>
      <c r="C38">
        <v>1960</v>
      </c>
      <c r="D38">
        <v>1979</v>
      </c>
      <c r="E38" t="s">
        <v>39</v>
      </c>
      <c r="F38" t="s">
        <v>40</v>
      </c>
      <c r="G38" t="s">
        <v>1148</v>
      </c>
      <c r="H38" t="s">
        <v>1427</v>
      </c>
      <c r="I38" t="s">
        <v>43</v>
      </c>
      <c r="J38" t="s">
        <v>1347</v>
      </c>
      <c r="K38" t="s">
        <v>1507</v>
      </c>
      <c r="L38" t="s">
        <v>1507</v>
      </c>
      <c r="M38" t="s">
        <v>47</v>
      </c>
      <c r="N38">
        <v>0.8</v>
      </c>
      <c r="O38">
        <v>0.8</v>
      </c>
      <c r="P38">
        <v>0.8</v>
      </c>
      <c r="Q38" t="b">
        <v>0</v>
      </c>
      <c r="R38" s="19">
        <v>4.0996327582910184E-2</v>
      </c>
      <c r="S38" s="19">
        <v>0.11734306583405273</v>
      </c>
      <c r="T38" s="19">
        <v>9.7458622641055759E-2</v>
      </c>
      <c r="U38" s="19">
        <v>9.7458622641055759E-2</v>
      </c>
      <c r="V38" t="s">
        <v>48</v>
      </c>
      <c r="W38" t="s">
        <v>49</v>
      </c>
      <c r="X38" t="s">
        <v>50</v>
      </c>
      <c r="Y38" t="s">
        <v>51</v>
      </c>
      <c r="Z38" t="s">
        <v>52</v>
      </c>
      <c r="AA38" t="s">
        <v>53</v>
      </c>
      <c r="AB38" t="s">
        <v>1564</v>
      </c>
      <c r="AC38" t="s">
        <v>1565</v>
      </c>
      <c r="AD38" t="s">
        <v>56</v>
      </c>
      <c r="AE38" t="s">
        <v>57</v>
      </c>
      <c r="AF38" t="s">
        <v>58</v>
      </c>
      <c r="AG38" t="s">
        <v>59</v>
      </c>
      <c r="AH38" t="s">
        <v>60</v>
      </c>
    </row>
    <row r="39" spans="1:34" x14ac:dyDescent="0.3">
      <c r="A39" t="s">
        <v>871</v>
      </c>
      <c r="B39" t="s">
        <v>1598</v>
      </c>
      <c r="C39">
        <v>1960</v>
      </c>
      <c r="D39">
        <v>1979</v>
      </c>
      <c r="E39" t="s">
        <v>39</v>
      </c>
      <c r="F39" t="s">
        <v>841</v>
      </c>
      <c r="G39" t="s">
        <v>1149</v>
      </c>
      <c r="H39" t="s">
        <v>1428</v>
      </c>
      <c r="I39" t="s">
        <v>43</v>
      </c>
      <c r="J39" t="s">
        <v>1348</v>
      </c>
      <c r="K39" t="s">
        <v>1508</v>
      </c>
      <c r="L39" t="s">
        <v>1508</v>
      </c>
      <c r="M39" t="s">
        <v>47</v>
      </c>
      <c r="N39">
        <v>0.8</v>
      </c>
      <c r="O39">
        <v>0.8</v>
      </c>
      <c r="P39">
        <v>0.8</v>
      </c>
      <c r="Q39" t="b">
        <v>0</v>
      </c>
      <c r="R39" s="19">
        <v>4.0996327582910184E-2</v>
      </c>
      <c r="S39" s="19">
        <v>0.11734306583405273</v>
      </c>
      <c r="T39" s="19">
        <v>9.7458622641055759E-2</v>
      </c>
      <c r="U39" s="19">
        <v>9.7458622641055759E-2</v>
      </c>
      <c r="V39" t="s">
        <v>78</v>
      </c>
      <c r="W39" t="s">
        <v>528</v>
      </c>
      <c r="X39" t="s">
        <v>50</v>
      </c>
      <c r="Y39" t="s">
        <v>79</v>
      </c>
      <c r="Z39" t="s">
        <v>87</v>
      </c>
      <c r="AA39" t="s">
        <v>53</v>
      </c>
      <c r="AB39" t="s">
        <v>1564</v>
      </c>
      <c r="AC39" t="s">
        <v>1565</v>
      </c>
      <c r="AD39" t="s">
        <v>56</v>
      </c>
      <c r="AE39" t="s">
        <v>1561</v>
      </c>
      <c r="AF39" t="s">
        <v>1566</v>
      </c>
      <c r="AG39" t="s">
        <v>589</v>
      </c>
      <c r="AH39" t="s">
        <v>60</v>
      </c>
    </row>
    <row r="40" spans="1:34" x14ac:dyDescent="0.3">
      <c r="A40" t="s">
        <v>856</v>
      </c>
      <c r="B40" t="s">
        <v>1599</v>
      </c>
      <c r="C40">
        <v>1980</v>
      </c>
      <c r="D40">
        <v>1989</v>
      </c>
      <c r="E40" t="s">
        <v>39</v>
      </c>
      <c r="F40" t="s">
        <v>838</v>
      </c>
      <c r="G40" t="s">
        <v>1150</v>
      </c>
      <c r="H40" t="s">
        <v>1429</v>
      </c>
      <c r="I40" t="s">
        <v>43</v>
      </c>
      <c r="J40" t="s">
        <v>1349</v>
      </c>
      <c r="K40" t="s">
        <v>1509</v>
      </c>
      <c r="L40" t="s">
        <v>1509</v>
      </c>
      <c r="M40" t="s">
        <v>423</v>
      </c>
      <c r="N40">
        <v>0.8</v>
      </c>
      <c r="O40">
        <v>0.8</v>
      </c>
      <c r="P40">
        <v>0.8</v>
      </c>
      <c r="Q40" t="b">
        <v>0</v>
      </c>
      <c r="R40" s="19">
        <v>6.3502907411573953E-2</v>
      </c>
      <c r="S40" s="19">
        <v>0.18176325257378367</v>
      </c>
      <c r="T40" s="19">
        <v>0.15096244602685849</v>
      </c>
      <c r="U40" s="19">
        <v>0.15096244602685849</v>
      </c>
      <c r="V40" t="s">
        <v>48</v>
      </c>
      <c r="W40" t="s">
        <v>49</v>
      </c>
      <c r="X40" t="s">
        <v>50</v>
      </c>
      <c r="Y40" t="s">
        <v>51</v>
      </c>
      <c r="Z40" t="s">
        <v>52</v>
      </c>
      <c r="AA40" t="s">
        <v>53</v>
      </c>
      <c r="AB40" t="s">
        <v>1564</v>
      </c>
      <c r="AC40" t="s">
        <v>1565</v>
      </c>
      <c r="AD40" t="s">
        <v>56</v>
      </c>
      <c r="AE40" t="s">
        <v>57</v>
      </c>
      <c r="AF40" t="s">
        <v>58</v>
      </c>
      <c r="AG40" t="s">
        <v>59</v>
      </c>
      <c r="AH40" t="s">
        <v>60</v>
      </c>
    </row>
    <row r="41" spans="1:34" x14ac:dyDescent="0.3">
      <c r="A41" t="s">
        <v>872</v>
      </c>
      <c r="B41" t="s">
        <v>1600</v>
      </c>
      <c r="C41">
        <v>1980</v>
      </c>
      <c r="D41">
        <v>1989</v>
      </c>
      <c r="E41" t="s">
        <v>39</v>
      </c>
      <c r="F41" t="s">
        <v>40</v>
      </c>
      <c r="G41" t="s">
        <v>1151</v>
      </c>
      <c r="H41" t="s">
        <v>1430</v>
      </c>
      <c r="I41" t="s">
        <v>43</v>
      </c>
      <c r="J41" t="s">
        <v>1350</v>
      </c>
      <c r="K41" t="s">
        <v>1510</v>
      </c>
      <c r="L41" t="s">
        <v>1510</v>
      </c>
      <c r="M41" t="s">
        <v>47</v>
      </c>
      <c r="N41">
        <v>0.8</v>
      </c>
      <c r="O41">
        <v>0.8</v>
      </c>
      <c r="P41">
        <v>0.8</v>
      </c>
      <c r="Q41" t="b">
        <v>0</v>
      </c>
      <c r="R41" s="19">
        <v>6.3502907411573953E-2</v>
      </c>
      <c r="S41" s="19">
        <v>0.18176325257378367</v>
      </c>
      <c r="T41" s="19">
        <v>0.15096244602685849</v>
      </c>
      <c r="U41" s="19">
        <v>0.15096244602685849</v>
      </c>
      <c r="V41" t="s">
        <v>48</v>
      </c>
      <c r="W41" t="s">
        <v>49</v>
      </c>
      <c r="X41" t="s">
        <v>50</v>
      </c>
      <c r="Y41" t="s">
        <v>51</v>
      </c>
      <c r="Z41" t="s">
        <v>52</v>
      </c>
      <c r="AA41" t="s">
        <v>53</v>
      </c>
      <c r="AB41" t="s">
        <v>1564</v>
      </c>
      <c r="AC41" t="s">
        <v>1565</v>
      </c>
      <c r="AD41" t="s">
        <v>56</v>
      </c>
      <c r="AE41" t="s">
        <v>57</v>
      </c>
      <c r="AF41" t="s">
        <v>58</v>
      </c>
      <c r="AG41" t="s">
        <v>59</v>
      </c>
      <c r="AH41" t="s">
        <v>60</v>
      </c>
    </row>
    <row r="42" spans="1:34" x14ac:dyDescent="0.3">
      <c r="A42" t="s">
        <v>873</v>
      </c>
      <c r="B42" t="s">
        <v>1601</v>
      </c>
      <c r="C42">
        <v>1980</v>
      </c>
      <c r="D42">
        <v>1989</v>
      </c>
      <c r="E42" t="s">
        <v>39</v>
      </c>
      <c r="F42" t="s">
        <v>841</v>
      </c>
      <c r="G42" t="s">
        <v>1152</v>
      </c>
      <c r="H42" t="s">
        <v>1431</v>
      </c>
      <c r="I42" t="s">
        <v>43</v>
      </c>
      <c r="J42" t="s">
        <v>1351</v>
      </c>
      <c r="K42" t="s">
        <v>1511</v>
      </c>
      <c r="L42" t="s">
        <v>1511</v>
      </c>
      <c r="M42" t="s">
        <v>47</v>
      </c>
      <c r="N42">
        <v>0.8</v>
      </c>
      <c r="O42">
        <v>0.8</v>
      </c>
      <c r="P42">
        <v>0.8</v>
      </c>
      <c r="Q42" t="b">
        <v>0</v>
      </c>
      <c r="R42" s="19">
        <v>6.3502907411573953E-2</v>
      </c>
      <c r="S42" s="19">
        <v>0.18176325257378367</v>
      </c>
      <c r="T42" s="19">
        <v>0.15096244602685849</v>
      </c>
      <c r="U42" s="19">
        <v>0.15096244602685849</v>
      </c>
      <c r="V42" t="s">
        <v>78</v>
      </c>
      <c r="W42" t="s">
        <v>528</v>
      </c>
      <c r="X42" t="s">
        <v>50</v>
      </c>
      <c r="Y42" t="s">
        <v>79</v>
      </c>
      <c r="Z42" t="s">
        <v>87</v>
      </c>
      <c r="AA42" t="s">
        <v>53</v>
      </c>
      <c r="AB42" t="s">
        <v>1564</v>
      </c>
      <c r="AC42" t="s">
        <v>1565</v>
      </c>
      <c r="AD42" t="s">
        <v>56</v>
      </c>
      <c r="AE42" t="s">
        <v>1561</v>
      </c>
      <c r="AF42" t="s">
        <v>1566</v>
      </c>
      <c r="AG42" t="s">
        <v>589</v>
      </c>
      <c r="AH42" t="s">
        <v>60</v>
      </c>
    </row>
    <row r="43" spans="1:34" x14ac:dyDescent="0.3">
      <c r="A43" t="s">
        <v>857</v>
      </c>
      <c r="B43" t="s">
        <v>1602</v>
      </c>
      <c r="C43">
        <v>1990</v>
      </c>
      <c r="D43">
        <v>1999</v>
      </c>
      <c r="E43" t="s">
        <v>39</v>
      </c>
      <c r="F43" t="s">
        <v>838</v>
      </c>
      <c r="G43" t="s">
        <v>1153</v>
      </c>
      <c r="H43" t="s">
        <v>1432</v>
      </c>
      <c r="I43" t="s">
        <v>43</v>
      </c>
      <c r="J43" t="s">
        <v>1352</v>
      </c>
      <c r="K43" t="s">
        <v>1512</v>
      </c>
      <c r="L43" t="s">
        <v>1512</v>
      </c>
      <c r="M43" t="s">
        <v>423</v>
      </c>
      <c r="N43">
        <v>0.8</v>
      </c>
      <c r="O43">
        <v>0.8</v>
      </c>
      <c r="P43">
        <v>0.8</v>
      </c>
      <c r="Q43" t="b">
        <v>0</v>
      </c>
      <c r="R43" s="19">
        <v>3.910035472930283E-2</v>
      </c>
      <c r="S43" s="19">
        <v>0.1119162561538323</v>
      </c>
      <c r="T43" s="19">
        <v>9.2951416416212518E-2</v>
      </c>
      <c r="U43" s="19">
        <v>9.2951416416212518E-2</v>
      </c>
      <c r="V43" t="s">
        <v>48</v>
      </c>
      <c r="W43" t="s">
        <v>49</v>
      </c>
      <c r="X43" t="s">
        <v>50</v>
      </c>
      <c r="Y43" t="s">
        <v>51</v>
      </c>
      <c r="Z43" t="s">
        <v>52</v>
      </c>
      <c r="AA43" t="s">
        <v>53</v>
      </c>
      <c r="AB43" t="s">
        <v>1564</v>
      </c>
      <c r="AC43" t="s">
        <v>1565</v>
      </c>
      <c r="AD43" t="s">
        <v>56</v>
      </c>
      <c r="AE43" t="s">
        <v>57</v>
      </c>
      <c r="AF43" t="s">
        <v>58</v>
      </c>
      <c r="AG43" t="s">
        <v>59</v>
      </c>
      <c r="AH43" t="s">
        <v>60</v>
      </c>
    </row>
    <row r="44" spans="1:34" x14ac:dyDescent="0.3">
      <c r="A44" t="s">
        <v>878</v>
      </c>
      <c r="B44" t="s">
        <v>1603</v>
      </c>
      <c r="C44">
        <v>1990</v>
      </c>
      <c r="D44">
        <v>1999</v>
      </c>
      <c r="E44" t="s">
        <v>39</v>
      </c>
      <c r="F44" t="s">
        <v>40</v>
      </c>
      <c r="G44" t="s">
        <v>1154</v>
      </c>
      <c r="H44" t="s">
        <v>1433</v>
      </c>
      <c r="I44" t="s">
        <v>43</v>
      </c>
      <c r="J44" t="s">
        <v>1353</v>
      </c>
      <c r="K44" t="s">
        <v>1513</v>
      </c>
      <c r="L44" t="s">
        <v>1513</v>
      </c>
      <c r="M44" t="s">
        <v>47</v>
      </c>
      <c r="N44">
        <v>0.8</v>
      </c>
      <c r="O44">
        <v>0.8</v>
      </c>
      <c r="P44">
        <v>0.8</v>
      </c>
      <c r="Q44" t="b">
        <v>0</v>
      </c>
      <c r="R44" s="19">
        <v>3.910035472930283E-2</v>
      </c>
      <c r="S44" s="19">
        <v>0.1119162561538323</v>
      </c>
      <c r="T44" s="19">
        <v>9.2951416416212518E-2</v>
      </c>
      <c r="U44" s="19">
        <v>9.2951416416212518E-2</v>
      </c>
      <c r="V44" t="s">
        <v>48</v>
      </c>
      <c r="W44" t="s">
        <v>49</v>
      </c>
      <c r="X44" t="s">
        <v>50</v>
      </c>
      <c r="Y44" t="s">
        <v>51</v>
      </c>
      <c r="Z44" t="s">
        <v>52</v>
      </c>
      <c r="AA44" t="s">
        <v>53</v>
      </c>
      <c r="AB44" t="s">
        <v>1564</v>
      </c>
      <c r="AC44" t="s">
        <v>1565</v>
      </c>
      <c r="AD44" t="s">
        <v>56</v>
      </c>
      <c r="AE44" t="s">
        <v>57</v>
      </c>
      <c r="AF44" t="s">
        <v>58</v>
      </c>
      <c r="AG44" t="s">
        <v>59</v>
      </c>
      <c r="AH44" t="s">
        <v>60</v>
      </c>
    </row>
    <row r="45" spans="1:34" x14ac:dyDescent="0.3">
      <c r="A45" t="s">
        <v>879</v>
      </c>
      <c r="B45" t="s">
        <v>1604</v>
      </c>
      <c r="C45">
        <v>1990</v>
      </c>
      <c r="D45">
        <v>1999</v>
      </c>
      <c r="E45" t="s">
        <v>39</v>
      </c>
      <c r="F45" t="s">
        <v>841</v>
      </c>
      <c r="G45" t="s">
        <v>1155</v>
      </c>
      <c r="H45" t="s">
        <v>1434</v>
      </c>
      <c r="I45" t="s">
        <v>43</v>
      </c>
      <c r="J45" t="s">
        <v>1354</v>
      </c>
      <c r="K45" t="s">
        <v>1514</v>
      </c>
      <c r="L45" t="s">
        <v>1514</v>
      </c>
      <c r="M45" t="s">
        <v>47</v>
      </c>
      <c r="N45">
        <v>0.8</v>
      </c>
      <c r="O45">
        <v>0.8</v>
      </c>
      <c r="P45">
        <v>0.8</v>
      </c>
      <c r="Q45" t="b">
        <v>0</v>
      </c>
      <c r="R45" s="19">
        <v>3.910035472930283E-2</v>
      </c>
      <c r="S45" s="19">
        <v>0.1119162561538323</v>
      </c>
      <c r="T45" s="19">
        <v>9.2951416416212518E-2</v>
      </c>
      <c r="U45" s="19">
        <v>9.2951416416212518E-2</v>
      </c>
      <c r="V45" t="s">
        <v>78</v>
      </c>
      <c r="W45" t="s">
        <v>528</v>
      </c>
      <c r="X45" t="s">
        <v>50</v>
      </c>
      <c r="Y45" t="s">
        <v>79</v>
      </c>
      <c r="Z45" t="s">
        <v>87</v>
      </c>
      <c r="AA45" t="s">
        <v>53</v>
      </c>
      <c r="AB45" t="s">
        <v>1564</v>
      </c>
      <c r="AC45" t="s">
        <v>1565</v>
      </c>
      <c r="AD45" t="s">
        <v>56</v>
      </c>
      <c r="AE45" t="s">
        <v>1561</v>
      </c>
      <c r="AF45" t="s">
        <v>1566</v>
      </c>
      <c r="AG45" t="s">
        <v>589</v>
      </c>
      <c r="AH45" t="s">
        <v>60</v>
      </c>
    </row>
    <row r="46" spans="1:34" x14ac:dyDescent="0.3">
      <c r="A46" t="s">
        <v>880</v>
      </c>
      <c r="B46" t="s">
        <v>1605</v>
      </c>
      <c r="C46">
        <v>2000</v>
      </c>
      <c r="D46">
        <v>2020</v>
      </c>
      <c r="E46" t="s">
        <v>39</v>
      </c>
      <c r="F46" t="s">
        <v>40</v>
      </c>
      <c r="G46" t="s">
        <v>1156</v>
      </c>
      <c r="H46" t="s">
        <v>1435</v>
      </c>
      <c r="I46" t="s">
        <v>43</v>
      </c>
      <c r="J46" t="s">
        <v>1355</v>
      </c>
      <c r="K46" t="s">
        <v>1515</v>
      </c>
      <c r="L46" t="s">
        <v>1515</v>
      </c>
      <c r="M46" t="s">
        <v>47</v>
      </c>
      <c r="N46">
        <v>0.8</v>
      </c>
      <c r="O46">
        <v>0.8</v>
      </c>
      <c r="P46">
        <v>0.8</v>
      </c>
      <c r="Q46" t="b">
        <v>0</v>
      </c>
      <c r="R46" s="19">
        <v>6.8195202867168986E-2</v>
      </c>
      <c r="S46" s="19">
        <v>0.19519392714933373</v>
      </c>
      <c r="T46" s="19">
        <v>0.16211721717562375</v>
      </c>
      <c r="U46" s="19">
        <v>0.16211721717562375</v>
      </c>
      <c r="V46" t="s">
        <v>78</v>
      </c>
      <c r="W46" t="s">
        <v>528</v>
      </c>
      <c r="X46" t="s">
        <v>50</v>
      </c>
      <c r="Y46" t="s">
        <v>79</v>
      </c>
      <c r="Z46" t="s">
        <v>52</v>
      </c>
      <c r="AA46" t="s">
        <v>53</v>
      </c>
      <c r="AB46" t="s">
        <v>1564</v>
      </c>
      <c r="AC46" t="s">
        <v>1565</v>
      </c>
      <c r="AD46" t="s">
        <v>56</v>
      </c>
      <c r="AE46" t="s">
        <v>80</v>
      </c>
      <c r="AF46" t="s">
        <v>81</v>
      </c>
      <c r="AG46" t="s">
        <v>589</v>
      </c>
      <c r="AH46" t="s">
        <v>60</v>
      </c>
    </row>
    <row r="47" spans="1:34" x14ac:dyDescent="0.3">
      <c r="A47" t="s">
        <v>881</v>
      </c>
      <c r="B47" t="s">
        <v>1606</v>
      </c>
      <c r="C47">
        <v>2021</v>
      </c>
      <c r="D47">
        <v>2040</v>
      </c>
      <c r="E47" t="s">
        <v>39</v>
      </c>
      <c r="F47" t="s">
        <v>841</v>
      </c>
      <c r="G47" t="s">
        <v>1157</v>
      </c>
      <c r="H47" t="s">
        <v>1436</v>
      </c>
      <c r="I47" t="s">
        <v>43</v>
      </c>
      <c r="J47" t="s">
        <v>1356</v>
      </c>
      <c r="K47" t="s">
        <v>1516</v>
      </c>
      <c r="L47" t="s">
        <v>1516</v>
      </c>
      <c r="M47" t="s">
        <v>47</v>
      </c>
      <c r="N47">
        <v>0.8</v>
      </c>
      <c r="O47">
        <v>0.8</v>
      </c>
      <c r="P47">
        <v>0.8</v>
      </c>
      <c r="Q47" t="b">
        <v>0</v>
      </c>
      <c r="R47" s="19">
        <v>6.8195202867168986E-2</v>
      </c>
      <c r="S47" s="19">
        <v>0.19519392714933373</v>
      </c>
      <c r="T47" s="19">
        <v>0.16211721717562375</v>
      </c>
      <c r="U47" s="19">
        <v>0.16211721717562375</v>
      </c>
      <c r="V47" t="s">
        <v>78</v>
      </c>
      <c r="W47" t="s">
        <v>528</v>
      </c>
      <c r="X47" t="s">
        <v>50</v>
      </c>
      <c r="Y47" t="s">
        <v>79</v>
      </c>
      <c r="Z47" t="s">
        <v>87</v>
      </c>
      <c r="AA47" t="s">
        <v>53</v>
      </c>
      <c r="AB47" t="s">
        <v>1564</v>
      </c>
      <c r="AC47" t="s">
        <v>1565</v>
      </c>
      <c r="AD47" t="s">
        <v>56</v>
      </c>
      <c r="AE47" t="s">
        <v>1561</v>
      </c>
      <c r="AF47" t="s">
        <v>1566</v>
      </c>
      <c r="AG47" t="s">
        <v>589</v>
      </c>
      <c r="AH47" t="s">
        <v>60</v>
      </c>
    </row>
    <row r="48" spans="1:34" x14ac:dyDescent="0.3">
      <c r="A48" t="s">
        <v>882</v>
      </c>
      <c r="B48" t="s">
        <v>1607</v>
      </c>
      <c r="C48">
        <v>1800</v>
      </c>
      <c r="D48">
        <v>1919</v>
      </c>
      <c r="E48" t="s">
        <v>39</v>
      </c>
      <c r="F48" t="s">
        <v>838</v>
      </c>
      <c r="G48" t="s">
        <v>1158</v>
      </c>
      <c r="H48" t="s">
        <v>1437</v>
      </c>
      <c r="I48" t="s">
        <v>43</v>
      </c>
      <c r="J48" t="s">
        <v>1357</v>
      </c>
      <c r="K48" t="s">
        <v>1517</v>
      </c>
      <c r="L48" t="s">
        <v>1517</v>
      </c>
      <c r="M48" t="s">
        <v>423</v>
      </c>
      <c r="N48">
        <v>0.8</v>
      </c>
      <c r="O48">
        <v>0.8</v>
      </c>
      <c r="P48">
        <v>0.8</v>
      </c>
      <c r="Q48" t="b">
        <v>0</v>
      </c>
      <c r="R48" s="19">
        <v>5.5003659543197379E-2</v>
      </c>
      <c r="S48" s="19">
        <v>0.1574360052089589</v>
      </c>
      <c r="T48" s="19">
        <v>0.13075758769993343</v>
      </c>
      <c r="U48" s="19">
        <v>0.13075758769993343</v>
      </c>
      <c r="V48" t="s">
        <v>48</v>
      </c>
      <c r="W48" t="s">
        <v>49</v>
      </c>
      <c r="X48" t="s">
        <v>50</v>
      </c>
      <c r="Y48" t="s">
        <v>51</v>
      </c>
      <c r="Z48" t="s">
        <v>52</v>
      </c>
      <c r="AA48" t="s">
        <v>53</v>
      </c>
      <c r="AB48" t="s">
        <v>1564</v>
      </c>
      <c r="AC48" t="s">
        <v>1565</v>
      </c>
      <c r="AD48" t="s">
        <v>56</v>
      </c>
      <c r="AE48" t="s">
        <v>80</v>
      </c>
      <c r="AF48" t="s">
        <v>81</v>
      </c>
      <c r="AG48" t="s">
        <v>59</v>
      </c>
      <c r="AH48" t="s">
        <v>60</v>
      </c>
    </row>
    <row r="49" spans="1:34" x14ac:dyDescent="0.3">
      <c r="A49" t="s">
        <v>883</v>
      </c>
      <c r="B49" t="s">
        <v>1608</v>
      </c>
      <c r="C49">
        <v>1800</v>
      </c>
      <c r="D49">
        <v>1919</v>
      </c>
      <c r="E49" t="s">
        <v>39</v>
      </c>
      <c r="F49" t="s">
        <v>40</v>
      </c>
      <c r="G49" t="s">
        <v>1159</v>
      </c>
      <c r="H49" t="s">
        <v>1438</v>
      </c>
      <c r="I49" t="s">
        <v>43</v>
      </c>
      <c r="J49" t="s">
        <v>1358</v>
      </c>
      <c r="K49" t="s">
        <v>1518</v>
      </c>
      <c r="L49" t="s">
        <v>1518</v>
      </c>
      <c r="M49" t="s">
        <v>47</v>
      </c>
      <c r="N49">
        <v>0.8</v>
      </c>
      <c r="O49">
        <v>0.8</v>
      </c>
      <c r="P49">
        <v>0.8</v>
      </c>
      <c r="Q49" t="b">
        <v>0</v>
      </c>
      <c r="R49" s="19">
        <v>5.5003659543197379E-2</v>
      </c>
      <c r="S49" s="19">
        <v>0.1574360052089589</v>
      </c>
      <c r="T49" s="19">
        <v>0.13075758769993343</v>
      </c>
      <c r="U49" s="19">
        <v>0.13075758769993343</v>
      </c>
      <c r="V49" t="s">
        <v>48</v>
      </c>
      <c r="W49" t="s">
        <v>49</v>
      </c>
      <c r="X49" t="s">
        <v>50</v>
      </c>
      <c r="Y49" t="s">
        <v>51</v>
      </c>
      <c r="Z49" t="s">
        <v>52</v>
      </c>
      <c r="AA49" t="s">
        <v>53</v>
      </c>
      <c r="AB49" t="s">
        <v>1564</v>
      </c>
      <c r="AC49" t="s">
        <v>1565</v>
      </c>
      <c r="AD49" t="s">
        <v>56</v>
      </c>
      <c r="AE49" t="s">
        <v>80</v>
      </c>
      <c r="AF49" t="s">
        <v>81</v>
      </c>
      <c r="AG49" t="s">
        <v>59</v>
      </c>
      <c r="AH49" t="s">
        <v>60</v>
      </c>
    </row>
    <row r="50" spans="1:34" x14ac:dyDescent="0.3">
      <c r="A50" t="s">
        <v>884</v>
      </c>
      <c r="B50" t="s">
        <v>1609</v>
      </c>
      <c r="C50">
        <v>1800</v>
      </c>
      <c r="D50">
        <v>1919</v>
      </c>
      <c r="E50" t="s">
        <v>39</v>
      </c>
      <c r="F50" t="s">
        <v>841</v>
      </c>
      <c r="G50" t="s">
        <v>1160</v>
      </c>
      <c r="H50" t="s">
        <v>1439</v>
      </c>
      <c r="I50" t="s">
        <v>43</v>
      </c>
      <c r="J50" t="s">
        <v>1359</v>
      </c>
      <c r="K50" t="s">
        <v>1519</v>
      </c>
      <c r="L50" t="s">
        <v>1519</v>
      </c>
      <c r="M50" t="s">
        <v>47</v>
      </c>
      <c r="N50">
        <v>0.8</v>
      </c>
      <c r="O50">
        <v>0.8</v>
      </c>
      <c r="P50">
        <v>0.8</v>
      </c>
      <c r="Q50" t="b">
        <v>0</v>
      </c>
      <c r="R50" s="19">
        <v>5.5003659543197379E-2</v>
      </c>
      <c r="S50" s="19">
        <v>0.1574360052089589</v>
      </c>
      <c r="T50" s="19">
        <v>0.13075758769993343</v>
      </c>
      <c r="U50" s="19">
        <v>0.13075758769993343</v>
      </c>
      <c r="V50" t="s">
        <v>78</v>
      </c>
      <c r="W50" t="s">
        <v>528</v>
      </c>
      <c r="X50" t="s">
        <v>50</v>
      </c>
      <c r="Y50" t="s">
        <v>79</v>
      </c>
      <c r="Z50" t="s">
        <v>87</v>
      </c>
      <c r="AA50" t="s">
        <v>53</v>
      </c>
      <c r="AB50" t="s">
        <v>1564</v>
      </c>
      <c r="AC50" t="s">
        <v>1565</v>
      </c>
      <c r="AD50" t="s">
        <v>56</v>
      </c>
      <c r="AE50" t="s">
        <v>80</v>
      </c>
      <c r="AF50" t="s">
        <v>81</v>
      </c>
      <c r="AG50" t="s">
        <v>589</v>
      </c>
      <c r="AH50" t="s">
        <v>60</v>
      </c>
    </row>
    <row r="51" spans="1:34" x14ac:dyDescent="0.3">
      <c r="A51" t="s">
        <v>885</v>
      </c>
      <c r="B51" t="s">
        <v>1610</v>
      </c>
      <c r="C51">
        <v>1920</v>
      </c>
      <c r="D51">
        <v>1944</v>
      </c>
      <c r="E51" t="s">
        <v>39</v>
      </c>
      <c r="F51" t="s">
        <v>838</v>
      </c>
      <c r="G51" t="s">
        <v>1161</v>
      </c>
      <c r="H51" t="s">
        <v>1440</v>
      </c>
      <c r="I51" t="s">
        <v>43</v>
      </c>
      <c r="J51" t="s">
        <v>1360</v>
      </c>
      <c r="K51" t="s">
        <v>1520</v>
      </c>
      <c r="L51" t="s">
        <v>1520</v>
      </c>
      <c r="M51" t="s">
        <v>423</v>
      </c>
      <c r="N51">
        <v>0.8</v>
      </c>
      <c r="O51">
        <v>0.8</v>
      </c>
      <c r="P51">
        <v>0.8</v>
      </c>
      <c r="Q51" t="b">
        <v>0</v>
      </c>
      <c r="R51" s="19">
        <v>3.7857913550988533E-2</v>
      </c>
      <c r="S51" s="19">
        <v>0.10836003866857034</v>
      </c>
      <c r="T51" s="19">
        <v>8.999782000672539E-2</v>
      </c>
      <c r="U51" s="19">
        <v>8.999782000672539E-2</v>
      </c>
      <c r="V51" t="s">
        <v>48</v>
      </c>
      <c r="W51" t="s">
        <v>49</v>
      </c>
      <c r="X51" t="s">
        <v>50</v>
      </c>
      <c r="Y51" t="s">
        <v>51</v>
      </c>
      <c r="Z51" t="s">
        <v>52</v>
      </c>
      <c r="AA51" t="s">
        <v>53</v>
      </c>
      <c r="AB51" t="s">
        <v>1564</v>
      </c>
      <c r="AC51" t="s">
        <v>1565</v>
      </c>
      <c r="AD51" t="s">
        <v>56</v>
      </c>
      <c r="AE51" t="s">
        <v>1561</v>
      </c>
      <c r="AF51" t="s">
        <v>1566</v>
      </c>
      <c r="AG51" t="s">
        <v>59</v>
      </c>
      <c r="AH51" t="s">
        <v>60</v>
      </c>
    </row>
    <row r="52" spans="1:34" x14ac:dyDescent="0.3">
      <c r="A52" t="s">
        <v>886</v>
      </c>
      <c r="B52" t="s">
        <v>1611</v>
      </c>
      <c r="C52">
        <v>1920</v>
      </c>
      <c r="D52">
        <v>1944</v>
      </c>
      <c r="E52" t="s">
        <v>39</v>
      </c>
      <c r="F52" t="s">
        <v>40</v>
      </c>
      <c r="G52" t="s">
        <v>1162</v>
      </c>
      <c r="H52" t="s">
        <v>1441</v>
      </c>
      <c r="I52" t="s">
        <v>43</v>
      </c>
      <c r="J52" t="s">
        <v>1361</v>
      </c>
      <c r="K52" t="s">
        <v>1521</v>
      </c>
      <c r="L52" t="s">
        <v>1521</v>
      </c>
      <c r="M52" t="s">
        <v>47</v>
      </c>
      <c r="N52">
        <v>0.8</v>
      </c>
      <c r="O52">
        <v>0.8</v>
      </c>
      <c r="P52">
        <v>0.8</v>
      </c>
      <c r="Q52" t="b">
        <v>0</v>
      </c>
      <c r="R52" s="19">
        <v>3.7857913550988533E-2</v>
      </c>
      <c r="S52" s="19">
        <v>0.10836003866857034</v>
      </c>
      <c r="T52" s="19">
        <v>8.999782000672539E-2</v>
      </c>
      <c r="U52" s="19">
        <v>8.999782000672539E-2</v>
      </c>
      <c r="V52" t="s">
        <v>48</v>
      </c>
      <c r="W52" t="s">
        <v>49</v>
      </c>
      <c r="X52" t="s">
        <v>50</v>
      </c>
      <c r="Y52" t="s">
        <v>51</v>
      </c>
      <c r="Z52" t="s">
        <v>52</v>
      </c>
      <c r="AA52" t="s">
        <v>53</v>
      </c>
      <c r="AB52" t="s">
        <v>1564</v>
      </c>
      <c r="AC52" t="s">
        <v>1565</v>
      </c>
      <c r="AD52" t="s">
        <v>56</v>
      </c>
      <c r="AE52" t="s">
        <v>1561</v>
      </c>
      <c r="AF52" t="s">
        <v>1566</v>
      </c>
      <c r="AG52" t="s">
        <v>59</v>
      </c>
      <c r="AH52" t="s">
        <v>60</v>
      </c>
    </row>
    <row r="53" spans="1:34" x14ac:dyDescent="0.3">
      <c r="A53" t="s">
        <v>887</v>
      </c>
      <c r="B53" t="s">
        <v>1612</v>
      </c>
      <c r="C53">
        <v>1920</v>
      </c>
      <c r="D53">
        <v>1944</v>
      </c>
      <c r="E53" t="s">
        <v>39</v>
      </c>
      <c r="F53" t="s">
        <v>841</v>
      </c>
      <c r="G53" t="s">
        <v>1163</v>
      </c>
      <c r="H53" t="s">
        <v>1442</v>
      </c>
      <c r="I53" t="s">
        <v>43</v>
      </c>
      <c r="J53" t="s">
        <v>1362</v>
      </c>
      <c r="K53" t="s">
        <v>1522</v>
      </c>
      <c r="L53" t="s">
        <v>1522</v>
      </c>
      <c r="M53" t="s">
        <v>47</v>
      </c>
      <c r="N53">
        <v>0.8</v>
      </c>
      <c r="O53">
        <v>0.8</v>
      </c>
      <c r="P53">
        <v>0.8</v>
      </c>
      <c r="Q53" t="b">
        <v>0</v>
      </c>
      <c r="R53" s="19">
        <v>3.7857913550988533E-2</v>
      </c>
      <c r="S53" s="19">
        <v>0.10836003866857034</v>
      </c>
      <c r="T53" s="19">
        <v>8.999782000672539E-2</v>
      </c>
      <c r="U53" s="19">
        <v>8.999782000672539E-2</v>
      </c>
      <c r="V53" t="s">
        <v>78</v>
      </c>
      <c r="W53" t="s">
        <v>528</v>
      </c>
      <c r="X53" t="s">
        <v>50</v>
      </c>
      <c r="Y53" t="s">
        <v>79</v>
      </c>
      <c r="Z53" t="s">
        <v>87</v>
      </c>
      <c r="AA53" t="s">
        <v>53</v>
      </c>
      <c r="AB53" t="s">
        <v>1564</v>
      </c>
      <c r="AC53" t="s">
        <v>1565</v>
      </c>
      <c r="AD53" t="s">
        <v>56</v>
      </c>
      <c r="AE53" t="s">
        <v>1561</v>
      </c>
      <c r="AF53" t="s">
        <v>1566</v>
      </c>
      <c r="AG53" t="s">
        <v>589</v>
      </c>
      <c r="AH53" t="s">
        <v>60</v>
      </c>
    </row>
    <row r="54" spans="1:34" x14ac:dyDescent="0.3">
      <c r="A54" t="s">
        <v>888</v>
      </c>
      <c r="B54" t="s">
        <v>1613</v>
      </c>
      <c r="C54">
        <v>1945</v>
      </c>
      <c r="D54">
        <v>1959</v>
      </c>
      <c r="E54" t="s">
        <v>39</v>
      </c>
      <c r="F54" t="s">
        <v>838</v>
      </c>
      <c r="G54" t="s">
        <v>1164</v>
      </c>
      <c r="H54" t="s">
        <v>1443</v>
      </c>
      <c r="I54" t="s">
        <v>43</v>
      </c>
      <c r="J54" t="s">
        <v>1363</v>
      </c>
      <c r="K54" t="s">
        <v>1523</v>
      </c>
      <c r="L54" t="s">
        <v>1523</v>
      </c>
      <c r="M54" t="s">
        <v>423</v>
      </c>
      <c r="N54">
        <v>0.8</v>
      </c>
      <c r="O54">
        <v>0.8</v>
      </c>
      <c r="P54">
        <v>0.8</v>
      </c>
      <c r="Q54" t="b">
        <v>0</v>
      </c>
      <c r="R54" s="19">
        <v>3.6423516569577388E-2</v>
      </c>
      <c r="S54" s="19">
        <v>0.10425438947154178</v>
      </c>
      <c r="T54" s="19">
        <v>8.658789618254624E-2</v>
      </c>
      <c r="U54" s="19">
        <v>8.658789618254624E-2</v>
      </c>
      <c r="V54" t="s">
        <v>48</v>
      </c>
      <c r="W54" t="s">
        <v>49</v>
      </c>
      <c r="X54" t="s">
        <v>50</v>
      </c>
      <c r="Y54" t="s">
        <v>51</v>
      </c>
      <c r="Z54" t="s">
        <v>52</v>
      </c>
      <c r="AA54" t="s">
        <v>53</v>
      </c>
      <c r="AB54" t="s">
        <v>1564</v>
      </c>
      <c r="AC54" t="s">
        <v>1565</v>
      </c>
      <c r="AD54" t="s">
        <v>56</v>
      </c>
      <c r="AE54" t="s">
        <v>80</v>
      </c>
      <c r="AF54" t="s">
        <v>81</v>
      </c>
      <c r="AG54" t="s">
        <v>59</v>
      </c>
      <c r="AH54" t="s">
        <v>60</v>
      </c>
    </row>
    <row r="55" spans="1:34" x14ac:dyDescent="0.3">
      <c r="A55" t="s">
        <v>889</v>
      </c>
      <c r="B55" t="s">
        <v>1614</v>
      </c>
      <c r="C55">
        <v>1945</v>
      </c>
      <c r="D55">
        <v>1959</v>
      </c>
      <c r="E55" t="s">
        <v>39</v>
      </c>
      <c r="F55" t="s">
        <v>40</v>
      </c>
      <c r="G55" t="s">
        <v>1165</v>
      </c>
      <c r="H55" t="s">
        <v>1444</v>
      </c>
      <c r="I55" t="s">
        <v>43</v>
      </c>
      <c r="J55" t="s">
        <v>1364</v>
      </c>
      <c r="K55" t="s">
        <v>1524</v>
      </c>
      <c r="L55" t="s">
        <v>1524</v>
      </c>
      <c r="M55" t="s">
        <v>47</v>
      </c>
      <c r="N55">
        <v>0.8</v>
      </c>
      <c r="O55">
        <v>0.8</v>
      </c>
      <c r="P55">
        <v>0.8</v>
      </c>
      <c r="Q55" t="b">
        <v>0</v>
      </c>
      <c r="R55" s="19">
        <v>3.6423516569577388E-2</v>
      </c>
      <c r="S55" s="19">
        <v>0.10425438947154178</v>
      </c>
      <c r="T55" s="19">
        <v>8.658789618254624E-2</v>
      </c>
      <c r="U55" s="19">
        <v>8.658789618254624E-2</v>
      </c>
      <c r="V55" t="s">
        <v>48</v>
      </c>
      <c r="W55" t="s">
        <v>49</v>
      </c>
      <c r="X55" t="s">
        <v>50</v>
      </c>
      <c r="Y55" t="s">
        <v>51</v>
      </c>
      <c r="Z55" t="s">
        <v>52</v>
      </c>
      <c r="AA55" t="s">
        <v>53</v>
      </c>
      <c r="AB55" t="s">
        <v>1564</v>
      </c>
      <c r="AC55" t="s">
        <v>1565</v>
      </c>
      <c r="AD55" t="s">
        <v>56</v>
      </c>
      <c r="AE55" t="s">
        <v>80</v>
      </c>
      <c r="AF55" t="s">
        <v>81</v>
      </c>
      <c r="AG55" t="s">
        <v>59</v>
      </c>
      <c r="AH55" t="s">
        <v>60</v>
      </c>
    </row>
    <row r="56" spans="1:34" x14ac:dyDescent="0.3">
      <c r="A56" t="s">
        <v>890</v>
      </c>
      <c r="B56" t="s">
        <v>1615</v>
      </c>
      <c r="C56">
        <v>1945</v>
      </c>
      <c r="D56">
        <v>1959</v>
      </c>
      <c r="E56" t="s">
        <v>39</v>
      </c>
      <c r="F56" t="s">
        <v>841</v>
      </c>
      <c r="G56" t="s">
        <v>1166</v>
      </c>
      <c r="H56" t="s">
        <v>1445</v>
      </c>
      <c r="I56" t="s">
        <v>43</v>
      </c>
      <c r="J56" t="s">
        <v>1365</v>
      </c>
      <c r="K56" t="s">
        <v>1525</v>
      </c>
      <c r="L56" t="s">
        <v>1525</v>
      </c>
      <c r="M56" t="s">
        <v>47</v>
      </c>
      <c r="N56">
        <v>0.8</v>
      </c>
      <c r="O56">
        <v>0.8</v>
      </c>
      <c r="P56">
        <v>0.8</v>
      </c>
      <c r="Q56" t="b">
        <v>0</v>
      </c>
      <c r="R56" s="19">
        <v>3.6423516569577388E-2</v>
      </c>
      <c r="S56" s="19">
        <v>0.10425438947154178</v>
      </c>
      <c r="T56" s="19">
        <v>8.658789618254624E-2</v>
      </c>
      <c r="U56" s="19">
        <v>8.658789618254624E-2</v>
      </c>
      <c r="V56" t="s">
        <v>78</v>
      </c>
      <c r="W56" t="s">
        <v>528</v>
      </c>
      <c r="X56" t="s">
        <v>50</v>
      </c>
      <c r="Y56" t="s">
        <v>79</v>
      </c>
      <c r="Z56" t="s">
        <v>87</v>
      </c>
      <c r="AA56" t="s">
        <v>53</v>
      </c>
      <c r="AB56" t="s">
        <v>1564</v>
      </c>
      <c r="AC56" t="s">
        <v>1565</v>
      </c>
      <c r="AD56" t="s">
        <v>56</v>
      </c>
      <c r="AE56" t="s">
        <v>80</v>
      </c>
      <c r="AF56" t="s">
        <v>81</v>
      </c>
      <c r="AG56" t="s">
        <v>589</v>
      </c>
      <c r="AH56" t="s">
        <v>60</v>
      </c>
    </row>
    <row r="57" spans="1:34" x14ac:dyDescent="0.3">
      <c r="A57" t="s">
        <v>891</v>
      </c>
      <c r="B57" t="s">
        <v>1616</v>
      </c>
      <c r="C57">
        <v>1960</v>
      </c>
      <c r="D57">
        <v>1979</v>
      </c>
      <c r="E57" t="s">
        <v>39</v>
      </c>
      <c r="F57" t="s">
        <v>838</v>
      </c>
      <c r="G57" t="s">
        <v>1167</v>
      </c>
      <c r="H57" t="s">
        <v>1446</v>
      </c>
      <c r="I57" t="s">
        <v>43</v>
      </c>
      <c r="J57" t="s">
        <v>1366</v>
      </c>
      <c r="K57" t="s">
        <v>1526</v>
      </c>
      <c r="L57" t="s">
        <v>1526</v>
      </c>
      <c r="M57" t="s">
        <v>423</v>
      </c>
      <c r="N57">
        <v>0.8</v>
      </c>
      <c r="O57">
        <v>0.8</v>
      </c>
      <c r="P57">
        <v>0.8</v>
      </c>
      <c r="Q57" t="b">
        <v>0</v>
      </c>
      <c r="R57" s="19">
        <v>5.4365494538191964E-2</v>
      </c>
      <c r="S57" s="19">
        <v>0.15560939676350985</v>
      </c>
      <c r="T57" s="19">
        <v>0.12924050834008666</v>
      </c>
      <c r="U57" s="19">
        <v>0.12924050834008666</v>
      </c>
      <c r="V57" t="s">
        <v>48</v>
      </c>
      <c r="W57" t="s">
        <v>49</v>
      </c>
      <c r="X57" t="s">
        <v>50</v>
      </c>
      <c r="Y57" t="s">
        <v>51</v>
      </c>
      <c r="Z57" t="s">
        <v>52</v>
      </c>
      <c r="AA57" t="s">
        <v>53</v>
      </c>
      <c r="AB57" t="s">
        <v>1564</v>
      </c>
      <c r="AC57" t="s">
        <v>1565</v>
      </c>
      <c r="AD57" t="s">
        <v>56</v>
      </c>
      <c r="AE57" t="s">
        <v>1561</v>
      </c>
      <c r="AF57" t="s">
        <v>1566</v>
      </c>
      <c r="AG57" t="s">
        <v>59</v>
      </c>
      <c r="AH57" t="s">
        <v>60</v>
      </c>
    </row>
    <row r="58" spans="1:34" x14ac:dyDescent="0.3">
      <c r="A58" t="s">
        <v>892</v>
      </c>
      <c r="B58" t="s">
        <v>1617</v>
      </c>
      <c r="C58">
        <v>1960</v>
      </c>
      <c r="D58">
        <v>1979</v>
      </c>
      <c r="E58" t="s">
        <v>39</v>
      </c>
      <c r="F58" t="s">
        <v>40</v>
      </c>
      <c r="G58" t="s">
        <v>1168</v>
      </c>
      <c r="H58" t="s">
        <v>1447</v>
      </c>
      <c r="I58" t="s">
        <v>43</v>
      </c>
      <c r="J58" t="s">
        <v>1367</v>
      </c>
      <c r="K58" t="s">
        <v>1527</v>
      </c>
      <c r="L58" t="s">
        <v>1527</v>
      </c>
      <c r="M58" t="s">
        <v>47</v>
      </c>
      <c r="N58">
        <v>0.8</v>
      </c>
      <c r="O58">
        <v>0.8</v>
      </c>
      <c r="P58">
        <v>0.8</v>
      </c>
      <c r="Q58" t="b">
        <v>0</v>
      </c>
      <c r="R58" s="19">
        <v>5.4365494538191964E-2</v>
      </c>
      <c r="S58" s="19">
        <v>0.15560939676350985</v>
      </c>
      <c r="T58" s="19">
        <v>0.12924050834008666</v>
      </c>
      <c r="U58" s="19">
        <v>0.12924050834008666</v>
      </c>
      <c r="V58" t="s">
        <v>48</v>
      </c>
      <c r="W58" t="s">
        <v>49</v>
      </c>
      <c r="X58" t="s">
        <v>50</v>
      </c>
      <c r="Y58" t="s">
        <v>51</v>
      </c>
      <c r="Z58" t="s">
        <v>52</v>
      </c>
      <c r="AA58" t="s">
        <v>53</v>
      </c>
      <c r="AB58" t="s">
        <v>1564</v>
      </c>
      <c r="AC58" t="s">
        <v>1565</v>
      </c>
      <c r="AD58" t="s">
        <v>56</v>
      </c>
      <c r="AE58" t="s">
        <v>1561</v>
      </c>
      <c r="AF58" t="s">
        <v>1566</v>
      </c>
      <c r="AG58" t="s">
        <v>59</v>
      </c>
      <c r="AH58" t="s">
        <v>60</v>
      </c>
    </row>
    <row r="59" spans="1:34" x14ac:dyDescent="0.3">
      <c r="A59" t="s">
        <v>893</v>
      </c>
      <c r="B59" t="s">
        <v>1618</v>
      </c>
      <c r="C59">
        <v>1960</v>
      </c>
      <c r="D59">
        <v>1979</v>
      </c>
      <c r="E59" t="s">
        <v>39</v>
      </c>
      <c r="F59" t="s">
        <v>841</v>
      </c>
      <c r="G59" t="s">
        <v>1169</v>
      </c>
      <c r="H59" t="s">
        <v>1448</v>
      </c>
      <c r="I59" t="s">
        <v>43</v>
      </c>
      <c r="J59" t="s">
        <v>1368</v>
      </c>
      <c r="K59" t="s">
        <v>1528</v>
      </c>
      <c r="L59" t="s">
        <v>1528</v>
      </c>
      <c r="M59" t="s">
        <v>47</v>
      </c>
      <c r="N59">
        <v>0.8</v>
      </c>
      <c r="O59">
        <v>0.8</v>
      </c>
      <c r="P59">
        <v>0.8</v>
      </c>
      <c r="Q59" t="b">
        <v>0</v>
      </c>
      <c r="R59" s="19">
        <v>5.4365494538191964E-2</v>
      </c>
      <c r="S59" s="19">
        <v>0.15560939676350985</v>
      </c>
      <c r="T59" s="19">
        <v>0.12924050834008666</v>
      </c>
      <c r="U59" s="19">
        <v>0.12924050834008666</v>
      </c>
      <c r="V59" t="s">
        <v>78</v>
      </c>
      <c r="W59" t="s">
        <v>528</v>
      </c>
      <c r="X59" t="s">
        <v>50</v>
      </c>
      <c r="Y59" t="s">
        <v>79</v>
      </c>
      <c r="Z59" t="s">
        <v>87</v>
      </c>
      <c r="AA59" t="s">
        <v>53</v>
      </c>
      <c r="AB59" t="s">
        <v>1564</v>
      </c>
      <c r="AC59" t="s">
        <v>1565</v>
      </c>
      <c r="AD59" t="s">
        <v>56</v>
      </c>
      <c r="AE59" t="s">
        <v>1561</v>
      </c>
      <c r="AF59" t="s">
        <v>1566</v>
      </c>
      <c r="AG59" t="s">
        <v>589</v>
      </c>
      <c r="AH59" t="s">
        <v>60</v>
      </c>
    </row>
    <row r="60" spans="1:34" x14ac:dyDescent="0.3">
      <c r="A60" t="s">
        <v>894</v>
      </c>
      <c r="B60" t="s">
        <v>1619</v>
      </c>
      <c r="C60">
        <v>1980</v>
      </c>
      <c r="D60">
        <v>1989</v>
      </c>
      <c r="E60" t="s">
        <v>39</v>
      </c>
      <c r="F60" t="s">
        <v>838</v>
      </c>
      <c r="G60" t="s">
        <v>1170</v>
      </c>
      <c r="H60" t="s">
        <v>1449</v>
      </c>
      <c r="I60" t="s">
        <v>43</v>
      </c>
      <c r="J60" t="s">
        <v>1369</v>
      </c>
      <c r="K60" t="s">
        <v>1529</v>
      </c>
      <c r="L60" t="s">
        <v>1529</v>
      </c>
      <c r="M60" t="s">
        <v>423</v>
      </c>
      <c r="N60">
        <v>0.8</v>
      </c>
      <c r="O60">
        <v>0.8</v>
      </c>
      <c r="P60">
        <v>0.8</v>
      </c>
      <c r="Q60" t="b">
        <v>0</v>
      </c>
      <c r="R60" s="19">
        <v>6.4047768207475098E-2</v>
      </c>
      <c r="S60" s="19">
        <v>0.18332279802610546</v>
      </c>
      <c r="T60" s="19">
        <v>0.15225771772143268</v>
      </c>
      <c r="U60" s="19">
        <v>0.15225771772143268</v>
      </c>
      <c r="V60" t="s">
        <v>48</v>
      </c>
      <c r="W60" t="s">
        <v>49</v>
      </c>
      <c r="X60" t="s">
        <v>50</v>
      </c>
      <c r="Y60" t="s">
        <v>51</v>
      </c>
      <c r="Z60" t="s">
        <v>52</v>
      </c>
      <c r="AA60" t="s">
        <v>53</v>
      </c>
      <c r="AB60" t="s">
        <v>1564</v>
      </c>
      <c r="AC60" t="s">
        <v>1565</v>
      </c>
      <c r="AD60" t="s">
        <v>56</v>
      </c>
      <c r="AE60" t="s">
        <v>1561</v>
      </c>
      <c r="AF60" t="s">
        <v>1566</v>
      </c>
      <c r="AG60" t="s">
        <v>59</v>
      </c>
      <c r="AH60" t="s">
        <v>60</v>
      </c>
    </row>
    <row r="61" spans="1:34" x14ac:dyDescent="0.3">
      <c r="A61" t="s">
        <v>895</v>
      </c>
      <c r="B61" t="s">
        <v>1620</v>
      </c>
      <c r="C61">
        <v>1980</v>
      </c>
      <c r="D61">
        <v>1989</v>
      </c>
      <c r="E61" t="s">
        <v>39</v>
      </c>
      <c r="F61" t="s">
        <v>40</v>
      </c>
      <c r="G61" t="s">
        <v>1171</v>
      </c>
      <c r="H61" t="s">
        <v>1450</v>
      </c>
      <c r="I61" t="s">
        <v>43</v>
      </c>
      <c r="J61" t="s">
        <v>1370</v>
      </c>
      <c r="K61" t="s">
        <v>1530</v>
      </c>
      <c r="L61" t="s">
        <v>1530</v>
      </c>
      <c r="M61" t="s">
        <v>47</v>
      </c>
      <c r="N61">
        <v>0.8</v>
      </c>
      <c r="O61">
        <v>0.8</v>
      </c>
      <c r="P61">
        <v>0.8</v>
      </c>
      <c r="Q61" t="b">
        <v>0</v>
      </c>
      <c r="R61" s="19">
        <v>6.4047768207475098E-2</v>
      </c>
      <c r="S61" s="19">
        <v>0.18332279802610546</v>
      </c>
      <c r="T61" s="19">
        <v>0.15225771772143268</v>
      </c>
      <c r="U61" s="19">
        <v>0.15225771772143268</v>
      </c>
      <c r="V61" t="s">
        <v>48</v>
      </c>
      <c r="W61" t="s">
        <v>49</v>
      </c>
      <c r="X61" t="s">
        <v>50</v>
      </c>
      <c r="Y61" t="s">
        <v>51</v>
      </c>
      <c r="Z61" t="s">
        <v>52</v>
      </c>
      <c r="AA61" t="s">
        <v>53</v>
      </c>
      <c r="AB61" t="s">
        <v>1564</v>
      </c>
      <c r="AC61" t="s">
        <v>1565</v>
      </c>
      <c r="AD61" t="s">
        <v>56</v>
      </c>
      <c r="AE61" t="s">
        <v>1561</v>
      </c>
      <c r="AF61" t="s">
        <v>1566</v>
      </c>
      <c r="AG61" t="s">
        <v>59</v>
      </c>
      <c r="AH61" t="s">
        <v>60</v>
      </c>
    </row>
    <row r="62" spans="1:34" x14ac:dyDescent="0.3">
      <c r="A62" t="s">
        <v>896</v>
      </c>
      <c r="B62" t="s">
        <v>1621</v>
      </c>
      <c r="C62">
        <v>1980</v>
      </c>
      <c r="D62">
        <v>1989</v>
      </c>
      <c r="E62" t="s">
        <v>39</v>
      </c>
      <c r="F62" t="s">
        <v>841</v>
      </c>
      <c r="G62" t="s">
        <v>1172</v>
      </c>
      <c r="H62" t="s">
        <v>1451</v>
      </c>
      <c r="I62" t="s">
        <v>43</v>
      </c>
      <c r="J62" t="s">
        <v>1371</v>
      </c>
      <c r="K62" t="s">
        <v>1531</v>
      </c>
      <c r="L62" t="s">
        <v>1531</v>
      </c>
      <c r="M62" t="s">
        <v>47</v>
      </c>
      <c r="N62">
        <v>0.8</v>
      </c>
      <c r="O62">
        <v>0.8</v>
      </c>
      <c r="P62">
        <v>0.8</v>
      </c>
      <c r="Q62" t="b">
        <v>0</v>
      </c>
      <c r="R62" s="19">
        <v>6.4047768207475098E-2</v>
      </c>
      <c r="S62" s="19">
        <v>0.18332279802610546</v>
      </c>
      <c r="T62" s="19">
        <v>0.15225771772143268</v>
      </c>
      <c r="U62" s="19">
        <v>0.15225771772143268</v>
      </c>
      <c r="V62" t="s">
        <v>78</v>
      </c>
      <c r="W62" t="s">
        <v>528</v>
      </c>
      <c r="X62" t="s">
        <v>50</v>
      </c>
      <c r="Y62" t="s">
        <v>79</v>
      </c>
      <c r="Z62" t="s">
        <v>87</v>
      </c>
      <c r="AA62" t="s">
        <v>53</v>
      </c>
      <c r="AB62" t="s">
        <v>1564</v>
      </c>
      <c r="AC62" t="s">
        <v>1565</v>
      </c>
      <c r="AD62" t="s">
        <v>56</v>
      </c>
      <c r="AE62" t="s">
        <v>1561</v>
      </c>
      <c r="AF62" t="s">
        <v>1566</v>
      </c>
      <c r="AG62" t="s">
        <v>589</v>
      </c>
      <c r="AH62" t="s">
        <v>60</v>
      </c>
    </row>
    <row r="63" spans="1:34" x14ac:dyDescent="0.3">
      <c r="A63" t="s">
        <v>897</v>
      </c>
      <c r="B63" t="s">
        <v>1622</v>
      </c>
      <c r="C63">
        <v>1990</v>
      </c>
      <c r="D63">
        <v>1999</v>
      </c>
      <c r="E63" t="s">
        <v>39</v>
      </c>
      <c r="F63" t="s">
        <v>838</v>
      </c>
      <c r="G63" t="s">
        <v>1173</v>
      </c>
      <c r="H63" t="s">
        <v>1452</v>
      </c>
      <c r="I63" t="s">
        <v>43</v>
      </c>
      <c r="J63" t="s">
        <v>1372</v>
      </c>
      <c r="K63" t="s">
        <v>1532</v>
      </c>
      <c r="L63" t="s">
        <v>1532</v>
      </c>
      <c r="M63" t="s">
        <v>423</v>
      </c>
      <c r="N63">
        <v>0.8</v>
      </c>
      <c r="O63">
        <v>0.8</v>
      </c>
      <c r="P63">
        <v>0.8</v>
      </c>
      <c r="Q63" t="b">
        <v>0</v>
      </c>
      <c r="R63" s="19">
        <v>5.4272489049327681E-2</v>
      </c>
      <c r="S63" s="19">
        <v>0.15534318879206027</v>
      </c>
      <c r="T63" s="19">
        <v>0.12901941080825433</v>
      </c>
      <c r="U63" s="19">
        <v>0.12901941080825433</v>
      </c>
      <c r="V63" t="s">
        <v>48</v>
      </c>
      <c r="W63" t="s">
        <v>49</v>
      </c>
      <c r="X63" t="s">
        <v>50</v>
      </c>
      <c r="Y63" t="s">
        <v>51</v>
      </c>
      <c r="Z63" t="s">
        <v>52</v>
      </c>
      <c r="AA63" t="s">
        <v>53</v>
      </c>
      <c r="AB63" t="s">
        <v>1564</v>
      </c>
      <c r="AC63" t="s">
        <v>1565</v>
      </c>
      <c r="AD63" t="s">
        <v>56</v>
      </c>
      <c r="AE63" t="s">
        <v>80</v>
      </c>
      <c r="AF63" t="s">
        <v>81</v>
      </c>
      <c r="AG63" t="s">
        <v>59</v>
      </c>
      <c r="AH63" t="s">
        <v>60</v>
      </c>
    </row>
    <row r="64" spans="1:34" x14ac:dyDescent="0.3">
      <c r="A64" t="s">
        <v>898</v>
      </c>
      <c r="B64" t="s">
        <v>1623</v>
      </c>
      <c r="C64">
        <v>1990</v>
      </c>
      <c r="D64">
        <v>1999</v>
      </c>
      <c r="E64" t="s">
        <v>39</v>
      </c>
      <c r="F64" t="s">
        <v>40</v>
      </c>
      <c r="G64" t="s">
        <v>1174</v>
      </c>
      <c r="H64" t="s">
        <v>1453</v>
      </c>
      <c r="I64" t="s">
        <v>43</v>
      </c>
      <c r="J64" t="s">
        <v>1373</v>
      </c>
      <c r="K64" t="s">
        <v>1533</v>
      </c>
      <c r="L64" t="s">
        <v>1533</v>
      </c>
      <c r="M64" t="s">
        <v>47</v>
      </c>
      <c r="N64">
        <v>0.8</v>
      </c>
      <c r="O64">
        <v>0.8</v>
      </c>
      <c r="P64">
        <v>0.8</v>
      </c>
      <c r="Q64" t="b">
        <v>0</v>
      </c>
      <c r="R64" s="19">
        <v>5.4272489049327681E-2</v>
      </c>
      <c r="S64" s="19">
        <v>0.15534318879206027</v>
      </c>
      <c r="T64" s="19">
        <v>0.12901941080825433</v>
      </c>
      <c r="U64" s="19">
        <v>0.12901941080825433</v>
      </c>
      <c r="V64" t="s">
        <v>48</v>
      </c>
      <c r="W64" t="s">
        <v>49</v>
      </c>
      <c r="X64" t="s">
        <v>50</v>
      </c>
      <c r="Y64" t="s">
        <v>51</v>
      </c>
      <c r="Z64" t="s">
        <v>52</v>
      </c>
      <c r="AA64" t="s">
        <v>53</v>
      </c>
      <c r="AB64" t="s">
        <v>1564</v>
      </c>
      <c r="AC64" t="s">
        <v>1565</v>
      </c>
      <c r="AD64" t="s">
        <v>56</v>
      </c>
      <c r="AE64" t="s">
        <v>80</v>
      </c>
      <c r="AF64" t="s">
        <v>81</v>
      </c>
      <c r="AG64" t="s">
        <v>59</v>
      </c>
      <c r="AH64" t="s">
        <v>60</v>
      </c>
    </row>
    <row r="65" spans="1:34" x14ac:dyDescent="0.3">
      <c r="A65" t="s">
        <v>899</v>
      </c>
      <c r="B65" t="s">
        <v>1624</v>
      </c>
      <c r="C65">
        <v>1990</v>
      </c>
      <c r="D65">
        <v>1999</v>
      </c>
      <c r="E65" t="s">
        <v>39</v>
      </c>
      <c r="F65" t="s">
        <v>841</v>
      </c>
      <c r="G65" t="s">
        <v>1175</v>
      </c>
      <c r="H65" t="s">
        <v>1454</v>
      </c>
      <c r="I65" t="s">
        <v>43</v>
      </c>
      <c r="J65" t="s">
        <v>1374</v>
      </c>
      <c r="K65" t="s">
        <v>1534</v>
      </c>
      <c r="L65" t="s">
        <v>1534</v>
      </c>
      <c r="M65" t="s">
        <v>47</v>
      </c>
      <c r="N65">
        <v>0.8</v>
      </c>
      <c r="O65">
        <v>0.8</v>
      </c>
      <c r="P65">
        <v>0.8</v>
      </c>
      <c r="Q65" t="b">
        <v>0</v>
      </c>
      <c r="R65" s="19">
        <v>5.4272489049327681E-2</v>
      </c>
      <c r="S65" s="19">
        <v>0.15534318879206027</v>
      </c>
      <c r="T65" s="19">
        <v>0.12901941080825433</v>
      </c>
      <c r="U65" s="19">
        <v>0.12901941080825433</v>
      </c>
      <c r="V65" t="s">
        <v>78</v>
      </c>
      <c r="W65" t="s">
        <v>528</v>
      </c>
      <c r="X65" t="s">
        <v>50</v>
      </c>
      <c r="Y65" t="s">
        <v>79</v>
      </c>
      <c r="Z65" t="s">
        <v>87</v>
      </c>
      <c r="AA65" t="s">
        <v>53</v>
      </c>
      <c r="AB65" t="s">
        <v>1564</v>
      </c>
      <c r="AC65" t="s">
        <v>1565</v>
      </c>
      <c r="AD65" t="s">
        <v>56</v>
      </c>
      <c r="AE65" t="s">
        <v>1561</v>
      </c>
      <c r="AF65" t="s">
        <v>1566</v>
      </c>
      <c r="AG65" t="s">
        <v>589</v>
      </c>
      <c r="AH65" t="s">
        <v>60</v>
      </c>
    </row>
    <row r="66" spans="1:34" x14ac:dyDescent="0.3">
      <c r="A66" t="s">
        <v>900</v>
      </c>
      <c r="B66" t="s">
        <v>1625</v>
      </c>
      <c r="C66">
        <v>2000</v>
      </c>
      <c r="D66">
        <v>2020</v>
      </c>
      <c r="E66" t="s">
        <v>39</v>
      </c>
      <c r="F66" t="s">
        <v>40</v>
      </c>
      <c r="G66" t="s">
        <v>1176</v>
      </c>
      <c r="H66" t="s">
        <v>1455</v>
      </c>
      <c r="I66" t="s">
        <v>43</v>
      </c>
      <c r="J66" t="s">
        <v>1375</v>
      </c>
      <c r="K66" t="s">
        <v>1535</v>
      </c>
      <c r="L66" t="s">
        <v>1535</v>
      </c>
      <c r="M66" t="s">
        <v>47</v>
      </c>
      <c r="N66">
        <v>0.8</v>
      </c>
      <c r="O66">
        <v>0.8</v>
      </c>
      <c r="P66">
        <v>0.8</v>
      </c>
      <c r="Q66" t="b">
        <v>0</v>
      </c>
      <c r="R66" s="19">
        <v>5.7218476055633453E-2</v>
      </c>
      <c r="S66" s="19">
        <v>0.16377543547386567</v>
      </c>
      <c r="T66" s="19">
        <v>0.13602276581297659</v>
      </c>
      <c r="U66" s="19">
        <v>0.13602276581297659</v>
      </c>
      <c r="V66" t="s">
        <v>78</v>
      </c>
      <c r="W66" t="s">
        <v>528</v>
      </c>
      <c r="X66" t="s">
        <v>50</v>
      </c>
      <c r="Y66" t="s">
        <v>79</v>
      </c>
      <c r="Z66" t="s">
        <v>52</v>
      </c>
      <c r="AA66" t="s">
        <v>53</v>
      </c>
      <c r="AB66" t="s">
        <v>1564</v>
      </c>
      <c r="AC66" t="s">
        <v>1565</v>
      </c>
      <c r="AD66" t="s">
        <v>56</v>
      </c>
      <c r="AE66" t="s">
        <v>1561</v>
      </c>
      <c r="AF66" t="s">
        <v>1566</v>
      </c>
      <c r="AG66" t="s">
        <v>589</v>
      </c>
      <c r="AH66" t="s">
        <v>60</v>
      </c>
    </row>
    <row r="67" spans="1:34" x14ac:dyDescent="0.3">
      <c r="A67" t="s">
        <v>901</v>
      </c>
      <c r="B67" t="s">
        <v>1626</v>
      </c>
      <c r="C67">
        <v>2021</v>
      </c>
      <c r="D67">
        <v>2040</v>
      </c>
      <c r="E67" t="s">
        <v>39</v>
      </c>
      <c r="F67" t="s">
        <v>841</v>
      </c>
      <c r="G67" t="s">
        <v>1177</v>
      </c>
      <c r="H67" t="s">
        <v>1456</v>
      </c>
      <c r="I67" t="s">
        <v>43</v>
      </c>
      <c r="J67" t="s">
        <v>1376</v>
      </c>
      <c r="K67" t="s">
        <v>1536</v>
      </c>
      <c r="L67" t="s">
        <v>1536</v>
      </c>
      <c r="M67" t="s">
        <v>47</v>
      </c>
      <c r="N67">
        <v>0.8</v>
      </c>
      <c r="O67">
        <v>0.8</v>
      </c>
      <c r="P67">
        <v>0.8</v>
      </c>
      <c r="Q67" t="b">
        <v>0</v>
      </c>
      <c r="R67" s="19">
        <v>5.7218476055633453E-2</v>
      </c>
      <c r="S67" s="19">
        <v>0.16377543547386567</v>
      </c>
      <c r="T67" s="19">
        <v>0.13602276581297659</v>
      </c>
      <c r="U67" s="19">
        <v>0.13602276581297659</v>
      </c>
      <c r="V67" t="s">
        <v>78</v>
      </c>
      <c r="W67" t="s">
        <v>528</v>
      </c>
      <c r="X67" t="s">
        <v>50</v>
      </c>
      <c r="Y67" t="s">
        <v>79</v>
      </c>
      <c r="Z67" t="s">
        <v>87</v>
      </c>
      <c r="AA67" t="s">
        <v>53</v>
      </c>
      <c r="AB67" t="s">
        <v>1564</v>
      </c>
      <c r="AC67" t="s">
        <v>1565</v>
      </c>
      <c r="AD67" t="s">
        <v>56</v>
      </c>
      <c r="AE67" t="s">
        <v>1561</v>
      </c>
      <c r="AF67" t="s">
        <v>1566</v>
      </c>
      <c r="AG67" t="s">
        <v>589</v>
      </c>
      <c r="AH67" t="s">
        <v>60</v>
      </c>
    </row>
    <row r="68" spans="1:34" x14ac:dyDescent="0.3">
      <c r="A68" t="s">
        <v>902</v>
      </c>
      <c r="B68" t="s">
        <v>1627</v>
      </c>
      <c r="C68">
        <v>1800</v>
      </c>
      <c r="D68">
        <v>1919</v>
      </c>
      <c r="E68" t="s">
        <v>39</v>
      </c>
      <c r="F68" t="s">
        <v>838</v>
      </c>
      <c r="G68" t="s">
        <v>1178</v>
      </c>
      <c r="H68" t="s">
        <v>1457</v>
      </c>
      <c r="I68" t="s">
        <v>43</v>
      </c>
      <c r="J68" t="s">
        <v>1377</v>
      </c>
      <c r="K68" t="s">
        <v>1537</v>
      </c>
      <c r="L68" t="s">
        <v>1537</v>
      </c>
      <c r="M68" t="s">
        <v>423</v>
      </c>
      <c r="N68">
        <v>0.8</v>
      </c>
      <c r="O68">
        <v>0.8</v>
      </c>
      <c r="P68">
        <v>0.8</v>
      </c>
      <c r="Q68" t="b">
        <v>0</v>
      </c>
      <c r="R68" s="19">
        <v>7.5388780957397594E-2</v>
      </c>
      <c r="S68" s="19">
        <v>0.21578397892206802</v>
      </c>
      <c r="T68" s="19">
        <v>0.17921816874541288</v>
      </c>
      <c r="U68" s="19">
        <v>0.17921816874541288</v>
      </c>
      <c r="V68" t="s">
        <v>48</v>
      </c>
      <c r="W68" t="s">
        <v>49</v>
      </c>
      <c r="X68" t="s">
        <v>50</v>
      </c>
      <c r="Y68" t="s">
        <v>51</v>
      </c>
      <c r="Z68" t="s">
        <v>52</v>
      </c>
      <c r="AA68" t="s">
        <v>53</v>
      </c>
      <c r="AB68" t="s">
        <v>1564</v>
      </c>
      <c r="AC68" t="s">
        <v>1565</v>
      </c>
      <c r="AD68" t="s">
        <v>56</v>
      </c>
      <c r="AE68" t="s">
        <v>80</v>
      </c>
      <c r="AF68" t="s">
        <v>81</v>
      </c>
      <c r="AG68" t="s">
        <v>59</v>
      </c>
      <c r="AH68" t="s">
        <v>60</v>
      </c>
    </row>
    <row r="69" spans="1:34" x14ac:dyDescent="0.3">
      <c r="A69" t="s">
        <v>903</v>
      </c>
      <c r="B69" t="s">
        <v>1628</v>
      </c>
      <c r="C69">
        <v>1800</v>
      </c>
      <c r="D69">
        <v>1919</v>
      </c>
      <c r="E69" t="s">
        <v>39</v>
      </c>
      <c r="F69" t="s">
        <v>40</v>
      </c>
      <c r="G69" t="s">
        <v>1179</v>
      </c>
      <c r="H69" t="s">
        <v>1458</v>
      </c>
      <c r="I69" t="s">
        <v>43</v>
      </c>
      <c r="J69" t="s">
        <v>1378</v>
      </c>
      <c r="K69" t="s">
        <v>1538</v>
      </c>
      <c r="L69" t="s">
        <v>1538</v>
      </c>
      <c r="M69" t="s">
        <v>47</v>
      </c>
      <c r="N69">
        <v>0.8</v>
      </c>
      <c r="O69">
        <v>0.8</v>
      </c>
      <c r="P69">
        <v>0.8</v>
      </c>
      <c r="Q69" t="b">
        <v>0</v>
      </c>
      <c r="R69" s="19">
        <v>7.5388780957397594E-2</v>
      </c>
      <c r="S69" s="19">
        <v>0.21578397892206802</v>
      </c>
      <c r="T69" s="19">
        <v>0.17921816874541288</v>
      </c>
      <c r="U69" s="19">
        <v>0.17921816874541288</v>
      </c>
      <c r="V69" t="s">
        <v>48</v>
      </c>
      <c r="W69" t="s">
        <v>49</v>
      </c>
      <c r="X69" t="s">
        <v>50</v>
      </c>
      <c r="Y69" t="s">
        <v>51</v>
      </c>
      <c r="Z69" t="s">
        <v>52</v>
      </c>
      <c r="AA69" t="s">
        <v>53</v>
      </c>
      <c r="AB69" t="s">
        <v>1564</v>
      </c>
      <c r="AC69" t="s">
        <v>1565</v>
      </c>
      <c r="AD69" t="s">
        <v>56</v>
      </c>
      <c r="AE69" t="s">
        <v>80</v>
      </c>
      <c r="AF69" t="s">
        <v>81</v>
      </c>
      <c r="AG69" t="s">
        <v>59</v>
      </c>
      <c r="AH69" t="s">
        <v>60</v>
      </c>
    </row>
    <row r="70" spans="1:34" x14ac:dyDescent="0.3">
      <c r="A70" t="s">
        <v>904</v>
      </c>
      <c r="B70" t="s">
        <v>1629</v>
      </c>
      <c r="C70">
        <v>1800</v>
      </c>
      <c r="D70">
        <v>1919</v>
      </c>
      <c r="E70" t="s">
        <v>39</v>
      </c>
      <c r="F70" t="s">
        <v>841</v>
      </c>
      <c r="G70" t="s">
        <v>1180</v>
      </c>
      <c r="H70" t="s">
        <v>1459</v>
      </c>
      <c r="I70" t="s">
        <v>43</v>
      </c>
      <c r="J70" t="s">
        <v>1379</v>
      </c>
      <c r="K70" t="s">
        <v>1539</v>
      </c>
      <c r="L70" t="s">
        <v>1539</v>
      </c>
      <c r="M70" t="s">
        <v>47</v>
      </c>
      <c r="N70">
        <v>0.8</v>
      </c>
      <c r="O70">
        <v>0.8</v>
      </c>
      <c r="P70">
        <v>0.8</v>
      </c>
      <c r="Q70" t="b">
        <v>0</v>
      </c>
      <c r="R70" s="19">
        <v>7.5388780957397594E-2</v>
      </c>
      <c r="S70" s="19">
        <v>0.21578397892206802</v>
      </c>
      <c r="T70" s="19">
        <v>0.17921816874541288</v>
      </c>
      <c r="U70" s="19">
        <v>0.17921816874541288</v>
      </c>
      <c r="V70" t="s">
        <v>78</v>
      </c>
      <c r="W70" t="s">
        <v>528</v>
      </c>
      <c r="X70" t="s">
        <v>50</v>
      </c>
      <c r="Y70" t="s">
        <v>79</v>
      </c>
      <c r="Z70" t="s">
        <v>87</v>
      </c>
      <c r="AA70" t="s">
        <v>53</v>
      </c>
      <c r="AB70" t="s">
        <v>1564</v>
      </c>
      <c r="AC70" t="s">
        <v>1565</v>
      </c>
      <c r="AD70" t="s">
        <v>56</v>
      </c>
      <c r="AE70" t="s">
        <v>80</v>
      </c>
      <c r="AF70" t="s">
        <v>81</v>
      </c>
      <c r="AG70" t="s">
        <v>589</v>
      </c>
      <c r="AH70" t="s">
        <v>60</v>
      </c>
    </row>
    <row r="71" spans="1:34" x14ac:dyDescent="0.3">
      <c r="A71" t="s">
        <v>905</v>
      </c>
      <c r="B71" t="s">
        <v>1630</v>
      </c>
      <c r="C71">
        <v>1920</v>
      </c>
      <c r="D71">
        <v>1944</v>
      </c>
      <c r="E71" t="s">
        <v>39</v>
      </c>
      <c r="F71" t="s">
        <v>838</v>
      </c>
      <c r="G71" t="s">
        <v>1181</v>
      </c>
      <c r="H71" t="s">
        <v>1460</v>
      </c>
      <c r="I71" t="s">
        <v>43</v>
      </c>
      <c r="J71" t="s">
        <v>1380</v>
      </c>
      <c r="K71" t="s">
        <v>1540</v>
      </c>
      <c r="L71" t="s">
        <v>1540</v>
      </c>
      <c r="M71" t="s">
        <v>423</v>
      </c>
      <c r="N71">
        <v>0.8</v>
      </c>
      <c r="O71">
        <v>0.8</v>
      </c>
      <c r="P71">
        <v>0.8</v>
      </c>
      <c r="Q71" t="b">
        <v>0</v>
      </c>
      <c r="R71" s="19">
        <v>6.6668476181167127E-2</v>
      </c>
      <c r="S71" s="19">
        <v>0.19082400426627036</v>
      </c>
      <c r="T71" s="19">
        <v>0.15848780232947274</v>
      </c>
      <c r="U71" s="19">
        <v>0.15848780232947274</v>
      </c>
      <c r="V71" t="s">
        <v>48</v>
      </c>
      <c r="W71" t="s">
        <v>49</v>
      </c>
      <c r="X71" t="s">
        <v>50</v>
      </c>
      <c r="Y71" t="s">
        <v>51</v>
      </c>
      <c r="Z71" t="s">
        <v>52</v>
      </c>
      <c r="AA71" t="s">
        <v>53</v>
      </c>
      <c r="AB71" t="s">
        <v>1564</v>
      </c>
      <c r="AC71" t="s">
        <v>1565</v>
      </c>
      <c r="AD71" t="s">
        <v>56</v>
      </c>
      <c r="AE71" t="s">
        <v>1561</v>
      </c>
      <c r="AF71" t="s">
        <v>1566</v>
      </c>
      <c r="AG71" t="s">
        <v>59</v>
      </c>
      <c r="AH71" t="s">
        <v>60</v>
      </c>
    </row>
    <row r="72" spans="1:34" x14ac:dyDescent="0.3">
      <c r="A72" t="s">
        <v>906</v>
      </c>
      <c r="B72" t="s">
        <v>1631</v>
      </c>
      <c r="C72">
        <v>1920</v>
      </c>
      <c r="D72">
        <v>1944</v>
      </c>
      <c r="E72" t="s">
        <v>39</v>
      </c>
      <c r="F72" t="s">
        <v>40</v>
      </c>
      <c r="G72" t="s">
        <v>1182</v>
      </c>
      <c r="H72" t="s">
        <v>1461</v>
      </c>
      <c r="I72" t="s">
        <v>43</v>
      </c>
      <c r="J72" t="s">
        <v>1381</v>
      </c>
      <c r="K72" t="s">
        <v>1541</v>
      </c>
      <c r="L72" t="s">
        <v>1541</v>
      </c>
      <c r="M72" t="s">
        <v>47</v>
      </c>
      <c r="N72">
        <v>0.8</v>
      </c>
      <c r="O72">
        <v>0.8</v>
      </c>
      <c r="P72">
        <v>0.8</v>
      </c>
      <c r="Q72" t="b">
        <v>0</v>
      </c>
      <c r="R72" s="19">
        <v>6.6668476181167127E-2</v>
      </c>
      <c r="S72" s="19">
        <v>0.19082400426627036</v>
      </c>
      <c r="T72" s="19">
        <v>0.15848780232947274</v>
      </c>
      <c r="U72" s="19">
        <v>0.15848780232947274</v>
      </c>
      <c r="V72" t="s">
        <v>48</v>
      </c>
      <c r="W72" t="s">
        <v>49</v>
      </c>
      <c r="X72" t="s">
        <v>50</v>
      </c>
      <c r="Y72" t="s">
        <v>51</v>
      </c>
      <c r="Z72" t="s">
        <v>52</v>
      </c>
      <c r="AA72" t="s">
        <v>53</v>
      </c>
      <c r="AB72" t="s">
        <v>1564</v>
      </c>
      <c r="AC72" t="s">
        <v>1565</v>
      </c>
      <c r="AD72" t="s">
        <v>56</v>
      </c>
      <c r="AE72" t="s">
        <v>1561</v>
      </c>
      <c r="AF72" t="s">
        <v>1566</v>
      </c>
      <c r="AG72" t="s">
        <v>59</v>
      </c>
      <c r="AH72" t="s">
        <v>60</v>
      </c>
    </row>
    <row r="73" spans="1:34" x14ac:dyDescent="0.3">
      <c r="A73" t="s">
        <v>907</v>
      </c>
      <c r="B73" t="s">
        <v>1632</v>
      </c>
      <c r="C73">
        <v>1920</v>
      </c>
      <c r="D73">
        <v>1944</v>
      </c>
      <c r="E73" t="s">
        <v>39</v>
      </c>
      <c r="F73" t="s">
        <v>841</v>
      </c>
      <c r="G73" t="s">
        <v>1183</v>
      </c>
      <c r="H73" t="s">
        <v>1462</v>
      </c>
      <c r="I73" t="s">
        <v>43</v>
      </c>
      <c r="J73" t="s">
        <v>1382</v>
      </c>
      <c r="K73" t="s">
        <v>1542</v>
      </c>
      <c r="L73" t="s">
        <v>1542</v>
      </c>
      <c r="M73" t="s">
        <v>47</v>
      </c>
      <c r="N73">
        <v>0.8</v>
      </c>
      <c r="O73">
        <v>0.8</v>
      </c>
      <c r="P73">
        <v>0.8</v>
      </c>
      <c r="Q73" t="b">
        <v>0</v>
      </c>
      <c r="R73" s="19">
        <v>6.6668476181167127E-2</v>
      </c>
      <c r="S73" s="19">
        <v>0.19082400426627036</v>
      </c>
      <c r="T73" s="19">
        <v>0.15848780232947274</v>
      </c>
      <c r="U73" s="19">
        <v>0.15848780232947274</v>
      </c>
      <c r="V73" t="s">
        <v>78</v>
      </c>
      <c r="W73" t="s">
        <v>528</v>
      </c>
      <c r="X73" t="s">
        <v>50</v>
      </c>
      <c r="Y73" t="s">
        <v>79</v>
      </c>
      <c r="Z73" t="s">
        <v>87</v>
      </c>
      <c r="AA73" t="s">
        <v>53</v>
      </c>
      <c r="AB73" t="s">
        <v>1564</v>
      </c>
      <c r="AC73" t="s">
        <v>1565</v>
      </c>
      <c r="AD73" t="s">
        <v>56</v>
      </c>
      <c r="AE73" t="s">
        <v>1561</v>
      </c>
      <c r="AF73" t="s">
        <v>1566</v>
      </c>
      <c r="AG73" t="s">
        <v>589</v>
      </c>
      <c r="AH73" t="s">
        <v>60</v>
      </c>
    </row>
    <row r="74" spans="1:34" x14ac:dyDescent="0.3">
      <c r="A74" t="s">
        <v>908</v>
      </c>
      <c r="B74" t="s">
        <v>1633</v>
      </c>
      <c r="C74">
        <v>1945</v>
      </c>
      <c r="D74">
        <v>1959</v>
      </c>
      <c r="E74" t="s">
        <v>39</v>
      </c>
      <c r="F74" t="s">
        <v>838</v>
      </c>
      <c r="G74" t="s">
        <v>1184</v>
      </c>
      <c r="H74" t="s">
        <v>1463</v>
      </c>
      <c r="I74" t="s">
        <v>43</v>
      </c>
      <c r="J74" t="s">
        <v>1383</v>
      </c>
      <c r="K74" t="s">
        <v>1543</v>
      </c>
      <c r="L74" t="s">
        <v>1543</v>
      </c>
      <c r="M74" t="s">
        <v>423</v>
      </c>
      <c r="N74">
        <v>0.8</v>
      </c>
      <c r="O74">
        <v>0.8</v>
      </c>
      <c r="P74">
        <v>0.8</v>
      </c>
      <c r="Q74" t="b">
        <v>0</v>
      </c>
      <c r="R74" s="19">
        <v>9.6522916666624076E-2</v>
      </c>
      <c r="S74" s="19">
        <v>0.27627584304960912</v>
      </c>
      <c r="T74" s="19">
        <v>0.22945934590365613</v>
      </c>
      <c r="U74" s="19">
        <v>0.22945934590365613</v>
      </c>
      <c r="V74" t="s">
        <v>48</v>
      </c>
      <c r="W74" t="s">
        <v>49</v>
      </c>
      <c r="X74" t="s">
        <v>50</v>
      </c>
      <c r="Y74" t="s">
        <v>51</v>
      </c>
      <c r="Z74" t="s">
        <v>52</v>
      </c>
      <c r="AA74" t="s">
        <v>53</v>
      </c>
      <c r="AB74" t="s">
        <v>1564</v>
      </c>
      <c r="AC74" t="s">
        <v>1565</v>
      </c>
      <c r="AD74" t="s">
        <v>56</v>
      </c>
      <c r="AE74" t="s">
        <v>80</v>
      </c>
      <c r="AF74" t="s">
        <v>81</v>
      </c>
      <c r="AG74" t="s">
        <v>59</v>
      </c>
      <c r="AH74" t="s">
        <v>60</v>
      </c>
    </row>
    <row r="75" spans="1:34" x14ac:dyDescent="0.3">
      <c r="A75" t="s">
        <v>909</v>
      </c>
      <c r="B75" t="s">
        <v>1634</v>
      </c>
      <c r="C75">
        <v>1945</v>
      </c>
      <c r="D75">
        <v>1959</v>
      </c>
      <c r="E75" t="s">
        <v>39</v>
      </c>
      <c r="F75" t="s">
        <v>40</v>
      </c>
      <c r="G75" t="s">
        <v>1185</v>
      </c>
      <c r="H75" t="s">
        <v>1464</v>
      </c>
      <c r="I75" t="s">
        <v>43</v>
      </c>
      <c r="J75" t="s">
        <v>1384</v>
      </c>
      <c r="K75" t="s">
        <v>1544</v>
      </c>
      <c r="L75" t="s">
        <v>1544</v>
      </c>
      <c r="M75" t="s">
        <v>47</v>
      </c>
      <c r="N75">
        <v>0.8</v>
      </c>
      <c r="O75">
        <v>0.8</v>
      </c>
      <c r="P75">
        <v>0.8</v>
      </c>
      <c r="Q75" t="b">
        <v>0</v>
      </c>
      <c r="R75" s="19">
        <v>9.6522916666624076E-2</v>
      </c>
      <c r="S75" s="19">
        <v>0.27627584304960912</v>
      </c>
      <c r="T75" s="19">
        <v>0.22945934590365613</v>
      </c>
      <c r="U75" s="19">
        <v>0.22945934590365613</v>
      </c>
      <c r="V75" t="s">
        <v>48</v>
      </c>
      <c r="W75" t="s">
        <v>49</v>
      </c>
      <c r="X75" t="s">
        <v>50</v>
      </c>
      <c r="Y75" t="s">
        <v>51</v>
      </c>
      <c r="Z75" t="s">
        <v>52</v>
      </c>
      <c r="AA75" t="s">
        <v>53</v>
      </c>
      <c r="AB75" t="s">
        <v>1564</v>
      </c>
      <c r="AC75" t="s">
        <v>1565</v>
      </c>
      <c r="AD75" t="s">
        <v>56</v>
      </c>
      <c r="AE75" t="s">
        <v>80</v>
      </c>
      <c r="AF75" t="s">
        <v>81</v>
      </c>
      <c r="AG75" t="s">
        <v>59</v>
      </c>
      <c r="AH75" t="s">
        <v>60</v>
      </c>
    </row>
    <row r="76" spans="1:34" x14ac:dyDescent="0.3">
      <c r="A76" t="s">
        <v>910</v>
      </c>
      <c r="B76" t="s">
        <v>1635</v>
      </c>
      <c r="C76">
        <v>1945</v>
      </c>
      <c r="D76">
        <v>1959</v>
      </c>
      <c r="E76" t="s">
        <v>39</v>
      </c>
      <c r="F76" t="s">
        <v>841</v>
      </c>
      <c r="G76" t="s">
        <v>1186</v>
      </c>
      <c r="H76" t="s">
        <v>1465</v>
      </c>
      <c r="I76" t="s">
        <v>43</v>
      </c>
      <c r="J76" t="s">
        <v>1385</v>
      </c>
      <c r="K76" t="s">
        <v>1545</v>
      </c>
      <c r="L76" t="s">
        <v>1545</v>
      </c>
      <c r="M76" t="s">
        <v>47</v>
      </c>
      <c r="N76">
        <v>0.8</v>
      </c>
      <c r="O76">
        <v>0.8</v>
      </c>
      <c r="P76">
        <v>0.8</v>
      </c>
      <c r="Q76" t="b">
        <v>0</v>
      </c>
      <c r="R76" s="19">
        <v>9.6522916666624076E-2</v>
      </c>
      <c r="S76" s="19">
        <v>0.27627584304960912</v>
      </c>
      <c r="T76" s="19">
        <v>0.22945934590365613</v>
      </c>
      <c r="U76" s="19">
        <v>0.22945934590365613</v>
      </c>
      <c r="V76" t="s">
        <v>78</v>
      </c>
      <c r="W76" t="s">
        <v>528</v>
      </c>
      <c r="X76" t="s">
        <v>50</v>
      </c>
      <c r="Y76" t="s">
        <v>79</v>
      </c>
      <c r="Z76" t="s">
        <v>87</v>
      </c>
      <c r="AA76" t="s">
        <v>53</v>
      </c>
      <c r="AB76" t="s">
        <v>1564</v>
      </c>
      <c r="AC76" t="s">
        <v>1565</v>
      </c>
      <c r="AD76" t="s">
        <v>56</v>
      </c>
      <c r="AE76" t="s">
        <v>80</v>
      </c>
      <c r="AF76" t="s">
        <v>81</v>
      </c>
      <c r="AG76" t="s">
        <v>589</v>
      </c>
      <c r="AH76" t="s">
        <v>60</v>
      </c>
    </row>
    <row r="77" spans="1:34" x14ac:dyDescent="0.3">
      <c r="A77" t="s">
        <v>911</v>
      </c>
      <c r="B77" t="s">
        <v>1636</v>
      </c>
      <c r="C77">
        <v>1960</v>
      </c>
      <c r="D77">
        <v>1979</v>
      </c>
      <c r="E77" t="s">
        <v>39</v>
      </c>
      <c r="F77" t="s">
        <v>838</v>
      </c>
      <c r="G77" t="s">
        <v>1187</v>
      </c>
      <c r="H77" t="s">
        <v>1466</v>
      </c>
      <c r="I77" t="s">
        <v>43</v>
      </c>
      <c r="J77" t="s">
        <v>1386</v>
      </c>
      <c r="K77" t="s">
        <v>1546</v>
      </c>
      <c r="L77" t="s">
        <v>1546</v>
      </c>
      <c r="M77" t="s">
        <v>423</v>
      </c>
      <c r="N77">
        <v>0.8</v>
      </c>
      <c r="O77">
        <v>0.8</v>
      </c>
      <c r="P77">
        <v>0.8</v>
      </c>
      <c r="Q77" t="b">
        <v>0</v>
      </c>
      <c r="R77" s="19">
        <v>9.1198977486884353E-2</v>
      </c>
      <c r="S77" s="19">
        <v>0.26103722577587268</v>
      </c>
      <c r="T77" s="19">
        <v>0.21680299812633763</v>
      </c>
      <c r="U77" s="19">
        <v>0.21680299812633763</v>
      </c>
      <c r="V77" t="s">
        <v>48</v>
      </c>
      <c r="W77" t="s">
        <v>49</v>
      </c>
      <c r="X77" t="s">
        <v>50</v>
      </c>
      <c r="Y77" t="s">
        <v>51</v>
      </c>
      <c r="Z77" t="s">
        <v>52</v>
      </c>
      <c r="AA77" t="s">
        <v>53</v>
      </c>
      <c r="AB77" t="s">
        <v>1564</v>
      </c>
      <c r="AC77" t="s">
        <v>1565</v>
      </c>
      <c r="AD77" t="s">
        <v>56</v>
      </c>
      <c r="AE77" t="s">
        <v>80</v>
      </c>
      <c r="AF77" t="s">
        <v>81</v>
      </c>
      <c r="AG77" t="s">
        <v>59</v>
      </c>
      <c r="AH77" t="s">
        <v>60</v>
      </c>
    </row>
    <row r="78" spans="1:34" x14ac:dyDescent="0.3">
      <c r="A78" t="s">
        <v>912</v>
      </c>
      <c r="B78" t="s">
        <v>1637</v>
      </c>
      <c r="C78">
        <v>1960</v>
      </c>
      <c r="D78">
        <v>1979</v>
      </c>
      <c r="E78" t="s">
        <v>39</v>
      </c>
      <c r="F78" t="s">
        <v>40</v>
      </c>
      <c r="G78" t="s">
        <v>1188</v>
      </c>
      <c r="H78" t="s">
        <v>1467</v>
      </c>
      <c r="I78" t="s">
        <v>43</v>
      </c>
      <c r="J78" t="s">
        <v>1387</v>
      </c>
      <c r="K78" t="s">
        <v>1547</v>
      </c>
      <c r="L78" t="s">
        <v>1547</v>
      </c>
      <c r="M78" t="s">
        <v>47</v>
      </c>
      <c r="N78">
        <v>0.8</v>
      </c>
      <c r="O78">
        <v>0.8</v>
      </c>
      <c r="P78">
        <v>0.8</v>
      </c>
      <c r="Q78" t="b">
        <v>0</v>
      </c>
      <c r="R78" s="19">
        <v>9.1198977486884353E-2</v>
      </c>
      <c r="S78" s="19">
        <v>0.26103722577587268</v>
      </c>
      <c r="T78" s="19">
        <v>0.21680299812633763</v>
      </c>
      <c r="U78" s="19">
        <v>0.21680299812633763</v>
      </c>
      <c r="V78" t="s">
        <v>48</v>
      </c>
      <c r="W78" t="s">
        <v>49</v>
      </c>
      <c r="X78" t="s">
        <v>50</v>
      </c>
      <c r="Y78" t="s">
        <v>51</v>
      </c>
      <c r="Z78" t="s">
        <v>52</v>
      </c>
      <c r="AA78" t="s">
        <v>53</v>
      </c>
      <c r="AB78" t="s">
        <v>1564</v>
      </c>
      <c r="AC78" t="s">
        <v>1565</v>
      </c>
      <c r="AD78" t="s">
        <v>56</v>
      </c>
      <c r="AE78" t="s">
        <v>80</v>
      </c>
      <c r="AF78" t="s">
        <v>81</v>
      </c>
      <c r="AG78" t="s">
        <v>59</v>
      </c>
      <c r="AH78" t="s">
        <v>60</v>
      </c>
    </row>
    <row r="79" spans="1:34" x14ac:dyDescent="0.3">
      <c r="A79" t="s">
        <v>913</v>
      </c>
      <c r="B79" t="s">
        <v>1638</v>
      </c>
      <c r="C79">
        <v>1960</v>
      </c>
      <c r="D79">
        <v>1979</v>
      </c>
      <c r="E79" t="s">
        <v>39</v>
      </c>
      <c r="F79" t="s">
        <v>841</v>
      </c>
      <c r="G79" t="s">
        <v>1189</v>
      </c>
      <c r="H79" t="s">
        <v>1468</v>
      </c>
      <c r="I79" t="s">
        <v>43</v>
      </c>
      <c r="J79" t="s">
        <v>1388</v>
      </c>
      <c r="K79" t="s">
        <v>1548</v>
      </c>
      <c r="L79" t="s">
        <v>1548</v>
      </c>
      <c r="M79" t="s">
        <v>47</v>
      </c>
      <c r="N79">
        <v>0.8</v>
      </c>
      <c r="O79">
        <v>0.8</v>
      </c>
      <c r="P79">
        <v>0.8</v>
      </c>
      <c r="Q79" t="b">
        <v>0</v>
      </c>
      <c r="R79" s="19">
        <v>9.1198977486884353E-2</v>
      </c>
      <c r="S79" s="19">
        <v>0.26103722577587268</v>
      </c>
      <c r="T79" s="19">
        <v>0.21680299812633763</v>
      </c>
      <c r="U79" s="19">
        <v>0.21680299812633763</v>
      </c>
      <c r="V79" t="s">
        <v>78</v>
      </c>
      <c r="W79" t="s">
        <v>528</v>
      </c>
      <c r="X79" t="s">
        <v>50</v>
      </c>
      <c r="Y79" t="s">
        <v>79</v>
      </c>
      <c r="Z79" t="s">
        <v>87</v>
      </c>
      <c r="AA79" t="s">
        <v>53</v>
      </c>
      <c r="AB79" t="s">
        <v>1564</v>
      </c>
      <c r="AC79" t="s">
        <v>1565</v>
      </c>
      <c r="AD79" t="s">
        <v>56</v>
      </c>
      <c r="AE79" t="s">
        <v>1561</v>
      </c>
      <c r="AF79" t="s">
        <v>1566</v>
      </c>
      <c r="AG79" t="s">
        <v>589</v>
      </c>
      <c r="AH79" t="s">
        <v>60</v>
      </c>
    </row>
    <row r="80" spans="1:34" x14ac:dyDescent="0.3">
      <c r="A80" t="s">
        <v>914</v>
      </c>
      <c r="B80" t="s">
        <v>1639</v>
      </c>
      <c r="C80">
        <v>1980</v>
      </c>
      <c r="D80">
        <v>1989</v>
      </c>
      <c r="E80" t="s">
        <v>39</v>
      </c>
      <c r="F80" t="s">
        <v>838</v>
      </c>
      <c r="G80" t="s">
        <v>1190</v>
      </c>
      <c r="H80" t="s">
        <v>1469</v>
      </c>
      <c r="I80" t="s">
        <v>43</v>
      </c>
      <c r="J80" t="s">
        <v>1389</v>
      </c>
      <c r="K80" t="s">
        <v>1549</v>
      </c>
      <c r="L80" t="s">
        <v>1549</v>
      </c>
      <c r="M80" t="s">
        <v>423</v>
      </c>
      <c r="N80">
        <v>0.8</v>
      </c>
      <c r="O80">
        <v>0.8</v>
      </c>
      <c r="P80">
        <v>0.8</v>
      </c>
      <c r="Q80" t="b">
        <v>0</v>
      </c>
      <c r="R80" s="19">
        <v>7.8787160987108376E-2</v>
      </c>
      <c r="S80" s="19">
        <v>0.22551110218082832</v>
      </c>
      <c r="T80" s="19">
        <v>0.18729697620046279</v>
      </c>
      <c r="U80" s="19">
        <v>0.18729697620046279</v>
      </c>
      <c r="V80" t="s">
        <v>48</v>
      </c>
      <c r="W80" t="s">
        <v>49</v>
      </c>
      <c r="X80" t="s">
        <v>50</v>
      </c>
      <c r="Y80" t="s">
        <v>51</v>
      </c>
      <c r="Z80" t="s">
        <v>52</v>
      </c>
      <c r="AA80" t="s">
        <v>53</v>
      </c>
      <c r="AB80" t="s">
        <v>1564</v>
      </c>
      <c r="AC80" t="s">
        <v>1565</v>
      </c>
      <c r="AD80" t="s">
        <v>56</v>
      </c>
      <c r="AE80" t="s">
        <v>1561</v>
      </c>
      <c r="AF80" t="s">
        <v>1566</v>
      </c>
      <c r="AG80" t="s">
        <v>59</v>
      </c>
      <c r="AH80" t="s">
        <v>60</v>
      </c>
    </row>
    <row r="81" spans="1:34" x14ac:dyDescent="0.3">
      <c r="A81" t="s">
        <v>915</v>
      </c>
      <c r="B81" t="s">
        <v>1640</v>
      </c>
      <c r="C81">
        <v>1980</v>
      </c>
      <c r="D81">
        <v>1989</v>
      </c>
      <c r="E81" t="s">
        <v>39</v>
      </c>
      <c r="F81" t="s">
        <v>40</v>
      </c>
      <c r="G81" t="s">
        <v>1191</v>
      </c>
      <c r="H81" t="s">
        <v>1470</v>
      </c>
      <c r="I81" t="s">
        <v>43</v>
      </c>
      <c r="J81" t="s">
        <v>1390</v>
      </c>
      <c r="K81" t="s">
        <v>1550</v>
      </c>
      <c r="L81" t="s">
        <v>1550</v>
      </c>
      <c r="M81" t="s">
        <v>47</v>
      </c>
      <c r="N81">
        <v>0.8</v>
      </c>
      <c r="O81">
        <v>0.8</v>
      </c>
      <c r="P81">
        <v>0.8</v>
      </c>
      <c r="Q81" t="b">
        <v>0</v>
      </c>
      <c r="R81" s="19">
        <v>7.8787160987108376E-2</v>
      </c>
      <c r="S81" s="19">
        <v>0.22551110218082832</v>
      </c>
      <c r="T81" s="19">
        <v>0.18729697620046279</v>
      </c>
      <c r="U81" s="19">
        <v>0.18729697620046279</v>
      </c>
      <c r="V81" t="s">
        <v>48</v>
      </c>
      <c r="W81" t="s">
        <v>49</v>
      </c>
      <c r="X81" t="s">
        <v>50</v>
      </c>
      <c r="Y81" t="s">
        <v>51</v>
      </c>
      <c r="Z81" t="s">
        <v>52</v>
      </c>
      <c r="AA81" t="s">
        <v>53</v>
      </c>
      <c r="AB81" t="s">
        <v>1564</v>
      </c>
      <c r="AC81" t="s">
        <v>1565</v>
      </c>
      <c r="AD81" t="s">
        <v>56</v>
      </c>
      <c r="AE81" t="s">
        <v>1561</v>
      </c>
      <c r="AF81" t="s">
        <v>1566</v>
      </c>
      <c r="AG81" t="s">
        <v>59</v>
      </c>
      <c r="AH81" t="s">
        <v>60</v>
      </c>
    </row>
    <row r="82" spans="1:34" x14ac:dyDescent="0.3">
      <c r="A82" t="s">
        <v>916</v>
      </c>
      <c r="B82" t="s">
        <v>1641</v>
      </c>
      <c r="C82">
        <v>1980</v>
      </c>
      <c r="D82">
        <v>1989</v>
      </c>
      <c r="E82" t="s">
        <v>39</v>
      </c>
      <c r="F82" t="s">
        <v>841</v>
      </c>
      <c r="G82" t="s">
        <v>1192</v>
      </c>
      <c r="H82" t="s">
        <v>1471</v>
      </c>
      <c r="I82" t="s">
        <v>43</v>
      </c>
      <c r="J82" t="s">
        <v>1391</v>
      </c>
      <c r="K82" t="s">
        <v>1551</v>
      </c>
      <c r="L82" t="s">
        <v>1551</v>
      </c>
      <c r="M82" t="s">
        <v>47</v>
      </c>
      <c r="N82">
        <v>0.8</v>
      </c>
      <c r="O82">
        <v>0.8</v>
      </c>
      <c r="P82">
        <v>0.8</v>
      </c>
      <c r="Q82" t="b">
        <v>0</v>
      </c>
      <c r="R82" s="19">
        <v>7.8787160987108376E-2</v>
      </c>
      <c r="S82" s="19">
        <v>0.22551110218082832</v>
      </c>
      <c r="T82" s="19">
        <v>0.18729697620046279</v>
      </c>
      <c r="U82" s="19">
        <v>0.18729697620046279</v>
      </c>
      <c r="V82" t="s">
        <v>78</v>
      </c>
      <c r="W82" t="s">
        <v>528</v>
      </c>
      <c r="X82" t="s">
        <v>50</v>
      </c>
      <c r="Y82" t="s">
        <v>79</v>
      </c>
      <c r="Z82" t="s">
        <v>87</v>
      </c>
      <c r="AA82" t="s">
        <v>53</v>
      </c>
      <c r="AB82" t="s">
        <v>1564</v>
      </c>
      <c r="AC82" t="s">
        <v>1565</v>
      </c>
      <c r="AD82" t="s">
        <v>56</v>
      </c>
      <c r="AE82" t="s">
        <v>1561</v>
      </c>
      <c r="AF82" t="s">
        <v>1566</v>
      </c>
      <c r="AG82" t="s">
        <v>589</v>
      </c>
      <c r="AH82" t="s">
        <v>60</v>
      </c>
    </row>
    <row r="83" spans="1:34" x14ac:dyDescent="0.3">
      <c r="A83" t="s">
        <v>917</v>
      </c>
      <c r="B83" t="s">
        <v>1642</v>
      </c>
      <c r="C83">
        <v>1990</v>
      </c>
      <c r="D83">
        <v>1999</v>
      </c>
      <c r="E83" t="s">
        <v>39</v>
      </c>
      <c r="F83" t="s">
        <v>838</v>
      </c>
      <c r="G83" t="s">
        <v>1193</v>
      </c>
      <c r="H83" t="s">
        <v>1472</v>
      </c>
      <c r="I83" t="s">
        <v>43</v>
      </c>
      <c r="J83" t="s">
        <v>1392</v>
      </c>
      <c r="K83" t="s">
        <v>1552</v>
      </c>
      <c r="L83" t="s">
        <v>1552</v>
      </c>
      <c r="M83" t="s">
        <v>423</v>
      </c>
      <c r="N83">
        <v>0.8</v>
      </c>
      <c r="O83">
        <v>0.8</v>
      </c>
      <c r="P83">
        <v>0.8</v>
      </c>
      <c r="Q83" t="b">
        <v>0</v>
      </c>
      <c r="R83" s="19">
        <v>0.11035205735472998</v>
      </c>
      <c r="S83" s="19">
        <v>0.31585874868697289</v>
      </c>
      <c r="T83" s="19">
        <v>0.26233470531350767</v>
      </c>
      <c r="U83" s="19">
        <v>0.26233470531350767</v>
      </c>
      <c r="V83" t="s">
        <v>48</v>
      </c>
      <c r="W83" t="s">
        <v>49</v>
      </c>
      <c r="X83" t="s">
        <v>50</v>
      </c>
      <c r="Y83" t="s">
        <v>51</v>
      </c>
      <c r="Z83" t="s">
        <v>52</v>
      </c>
      <c r="AA83" t="s">
        <v>53</v>
      </c>
      <c r="AB83" t="s">
        <v>1564</v>
      </c>
      <c r="AC83" t="s">
        <v>1565</v>
      </c>
      <c r="AD83" t="s">
        <v>56</v>
      </c>
      <c r="AE83" t="s">
        <v>1561</v>
      </c>
      <c r="AF83" t="s">
        <v>1566</v>
      </c>
      <c r="AG83" t="s">
        <v>59</v>
      </c>
      <c r="AH83" t="s">
        <v>60</v>
      </c>
    </row>
    <row r="84" spans="1:34" x14ac:dyDescent="0.3">
      <c r="A84" t="s">
        <v>918</v>
      </c>
      <c r="B84" t="s">
        <v>1643</v>
      </c>
      <c r="C84">
        <v>1990</v>
      </c>
      <c r="D84">
        <v>1999</v>
      </c>
      <c r="E84" t="s">
        <v>39</v>
      </c>
      <c r="F84" t="s">
        <v>40</v>
      </c>
      <c r="G84" t="s">
        <v>1194</v>
      </c>
      <c r="H84" t="s">
        <v>1473</v>
      </c>
      <c r="I84" t="s">
        <v>43</v>
      </c>
      <c r="J84" t="s">
        <v>1393</v>
      </c>
      <c r="K84" t="s">
        <v>1553</v>
      </c>
      <c r="L84" t="s">
        <v>1553</v>
      </c>
      <c r="M84" t="s">
        <v>47</v>
      </c>
      <c r="N84">
        <v>0.8</v>
      </c>
      <c r="O84">
        <v>0.8</v>
      </c>
      <c r="P84">
        <v>0.8</v>
      </c>
      <c r="Q84" t="b">
        <v>0</v>
      </c>
      <c r="R84" s="19">
        <v>0.11035205735472998</v>
      </c>
      <c r="S84" s="19">
        <v>0.31585874868697289</v>
      </c>
      <c r="T84" s="19">
        <v>0.26233470531350767</v>
      </c>
      <c r="U84" s="19">
        <v>0.26233470531350767</v>
      </c>
      <c r="V84" t="s">
        <v>48</v>
      </c>
      <c r="W84" t="s">
        <v>49</v>
      </c>
      <c r="X84" t="s">
        <v>50</v>
      </c>
      <c r="Y84" t="s">
        <v>51</v>
      </c>
      <c r="Z84" t="s">
        <v>52</v>
      </c>
      <c r="AA84" t="s">
        <v>53</v>
      </c>
      <c r="AB84" t="s">
        <v>1564</v>
      </c>
      <c r="AC84" t="s">
        <v>1565</v>
      </c>
      <c r="AD84" t="s">
        <v>56</v>
      </c>
      <c r="AE84" t="s">
        <v>1561</v>
      </c>
      <c r="AF84" t="s">
        <v>1566</v>
      </c>
      <c r="AG84" t="s">
        <v>59</v>
      </c>
      <c r="AH84" t="s">
        <v>60</v>
      </c>
    </row>
    <row r="85" spans="1:34" x14ac:dyDescent="0.3">
      <c r="A85" t="s">
        <v>919</v>
      </c>
      <c r="B85" t="s">
        <v>1644</v>
      </c>
      <c r="C85">
        <v>1990</v>
      </c>
      <c r="D85">
        <v>1999</v>
      </c>
      <c r="E85" t="s">
        <v>39</v>
      </c>
      <c r="F85" t="s">
        <v>841</v>
      </c>
      <c r="G85" t="s">
        <v>1195</v>
      </c>
      <c r="H85" t="s">
        <v>1474</v>
      </c>
      <c r="I85" t="s">
        <v>43</v>
      </c>
      <c r="J85" t="s">
        <v>1394</v>
      </c>
      <c r="K85" t="s">
        <v>1554</v>
      </c>
      <c r="L85" t="s">
        <v>1554</v>
      </c>
      <c r="M85" t="s">
        <v>47</v>
      </c>
      <c r="N85">
        <v>0.8</v>
      </c>
      <c r="O85">
        <v>0.8</v>
      </c>
      <c r="P85">
        <v>0.8</v>
      </c>
      <c r="Q85" t="b">
        <v>0</v>
      </c>
      <c r="R85" s="19">
        <v>0.11035205735472998</v>
      </c>
      <c r="S85" s="19">
        <v>0.31585874868697289</v>
      </c>
      <c r="T85" s="19">
        <v>0.26233470531350767</v>
      </c>
      <c r="U85" s="19">
        <v>0.26233470531350767</v>
      </c>
      <c r="V85" t="s">
        <v>78</v>
      </c>
      <c r="W85" t="s">
        <v>528</v>
      </c>
      <c r="X85" t="s">
        <v>50</v>
      </c>
      <c r="Y85" t="s">
        <v>79</v>
      </c>
      <c r="Z85" t="s">
        <v>87</v>
      </c>
      <c r="AA85" t="s">
        <v>53</v>
      </c>
      <c r="AB85" t="s">
        <v>1564</v>
      </c>
      <c r="AC85" t="s">
        <v>1565</v>
      </c>
      <c r="AD85" t="s">
        <v>56</v>
      </c>
      <c r="AE85" t="s">
        <v>1561</v>
      </c>
      <c r="AF85" t="s">
        <v>1566</v>
      </c>
      <c r="AG85" t="s">
        <v>589</v>
      </c>
      <c r="AH85" t="s">
        <v>60</v>
      </c>
    </row>
    <row r="86" spans="1:34" x14ac:dyDescent="0.3">
      <c r="A86" t="s">
        <v>920</v>
      </c>
      <c r="B86" t="s">
        <v>1645</v>
      </c>
      <c r="C86">
        <v>2000</v>
      </c>
      <c r="D86">
        <v>2020</v>
      </c>
      <c r="E86" t="s">
        <v>39</v>
      </c>
      <c r="F86" t="s">
        <v>40</v>
      </c>
      <c r="G86" t="s">
        <v>1196</v>
      </c>
      <c r="H86" t="s">
        <v>1475</v>
      </c>
      <c r="I86" t="s">
        <v>43</v>
      </c>
      <c r="J86" t="s">
        <v>1395</v>
      </c>
      <c r="K86" t="s">
        <v>1555</v>
      </c>
      <c r="L86" t="s">
        <v>1555</v>
      </c>
      <c r="M86" t="s">
        <v>47</v>
      </c>
      <c r="N86">
        <v>0.8</v>
      </c>
      <c r="O86">
        <v>0.8</v>
      </c>
      <c r="P86">
        <v>0.8</v>
      </c>
      <c r="Q86" t="b">
        <v>0</v>
      </c>
      <c r="R86" s="19">
        <v>9.0416558593148247E-2</v>
      </c>
      <c r="S86" s="19">
        <v>0.25879772196734729</v>
      </c>
      <c r="T86" s="19">
        <v>0.21494299084745039</v>
      </c>
      <c r="U86" s="19">
        <v>0.21494299084745039</v>
      </c>
      <c r="V86" t="s">
        <v>78</v>
      </c>
      <c r="W86" t="s">
        <v>528</v>
      </c>
      <c r="X86" t="s">
        <v>50</v>
      </c>
      <c r="Y86" t="s">
        <v>79</v>
      </c>
      <c r="Z86" t="s">
        <v>52</v>
      </c>
      <c r="AA86" t="s">
        <v>53</v>
      </c>
      <c r="AB86" t="s">
        <v>1564</v>
      </c>
      <c r="AC86" t="s">
        <v>1565</v>
      </c>
      <c r="AD86" t="s">
        <v>56</v>
      </c>
      <c r="AE86" t="s">
        <v>1561</v>
      </c>
      <c r="AF86" t="s">
        <v>1566</v>
      </c>
      <c r="AG86" t="s">
        <v>589</v>
      </c>
      <c r="AH86" t="s">
        <v>60</v>
      </c>
    </row>
    <row r="87" spans="1:34" x14ac:dyDescent="0.3">
      <c r="A87" t="s">
        <v>921</v>
      </c>
      <c r="B87" t="s">
        <v>1646</v>
      </c>
      <c r="C87">
        <v>2021</v>
      </c>
      <c r="D87">
        <v>2040</v>
      </c>
      <c r="E87" t="s">
        <v>39</v>
      </c>
      <c r="F87" t="s">
        <v>841</v>
      </c>
      <c r="G87" t="s">
        <v>1197</v>
      </c>
      <c r="H87" t="s">
        <v>1476</v>
      </c>
      <c r="I87" t="s">
        <v>43</v>
      </c>
      <c r="J87" t="s">
        <v>1396</v>
      </c>
      <c r="K87" t="s">
        <v>1556</v>
      </c>
      <c r="L87" t="s">
        <v>1556</v>
      </c>
      <c r="M87" t="s">
        <v>47</v>
      </c>
      <c r="N87">
        <v>0.8</v>
      </c>
      <c r="O87">
        <v>0.8</v>
      </c>
      <c r="P87">
        <v>0.8</v>
      </c>
      <c r="Q87" t="b">
        <v>0</v>
      </c>
      <c r="R87" s="19">
        <v>9.0416558593148247E-2</v>
      </c>
      <c r="S87" s="19">
        <v>0.25879772196734729</v>
      </c>
      <c r="T87" s="19">
        <v>0.21494299084745039</v>
      </c>
      <c r="U87" s="19">
        <v>0.21494299084745039</v>
      </c>
      <c r="V87" t="s">
        <v>78</v>
      </c>
      <c r="W87" t="s">
        <v>528</v>
      </c>
      <c r="X87" t="s">
        <v>50</v>
      </c>
      <c r="Y87" t="s">
        <v>79</v>
      </c>
      <c r="Z87" t="s">
        <v>87</v>
      </c>
      <c r="AA87" t="s">
        <v>53</v>
      </c>
      <c r="AB87" t="s">
        <v>1564</v>
      </c>
      <c r="AC87" t="s">
        <v>1565</v>
      </c>
      <c r="AD87" t="s">
        <v>56</v>
      </c>
      <c r="AE87" t="s">
        <v>1561</v>
      </c>
      <c r="AF87" t="s">
        <v>1566</v>
      </c>
      <c r="AG87" t="s">
        <v>589</v>
      </c>
      <c r="AH87" t="s">
        <v>60</v>
      </c>
    </row>
    <row r="88" spans="1:34" x14ac:dyDescent="0.3">
      <c r="A88" t="s">
        <v>748</v>
      </c>
      <c r="B88" t="s">
        <v>788</v>
      </c>
      <c r="C88">
        <v>1000</v>
      </c>
      <c r="D88">
        <v>1978</v>
      </c>
      <c r="E88" t="s">
        <v>39</v>
      </c>
      <c r="F88" t="s">
        <v>40</v>
      </c>
      <c r="G88" t="s">
        <v>922</v>
      </c>
      <c r="H88" t="s">
        <v>923</v>
      </c>
      <c r="I88" t="s">
        <v>43</v>
      </c>
      <c r="J88" t="s">
        <v>924</v>
      </c>
      <c r="K88" t="s">
        <v>925</v>
      </c>
      <c r="L88" t="s">
        <v>926</v>
      </c>
      <c r="M88" t="s">
        <v>927</v>
      </c>
      <c r="N88">
        <v>0.8</v>
      </c>
      <c r="O88">
        <v>0.8</v>
      </c>
      <c r="P88">
        <v>0.8</v>
      </c>
      <c r="Q88" t="b">
        <v>0</v>
      </c>
      <c r="R88" s="19">
        <v>0.31</v>
      </c>
      <c r="S88" s="19">
        <v>0.31</v>
      </c>
      <c r="T88" s="19">
        <v>0.31</v>
      </c>
      <c r="U88" s="19">
        <v>0.31</v>
      </c>
      <c r="V88" t="s">
        <v>48</v>
      </c>
      <c r="W88" t="s">
        <v>49</v>
      </c>
      <c r="X88" t="s">
        <v>50</v>
      </c>
      <c r="Y88" t="s">
        <v>51</v>
      </c>
      <c r="Z88" t="s">
        <v>87</v>
      </c>
      <c r="AA88" t="s">
        <v>53</v>
      </c>
      <c r="AB88" t="s">
        <v>1564</v>
      </c>
      <c r="AC88" t="s">
        <v>1565</v>
      </c>
      <c r="AD88" t="s">
        <v>56</v>
      </c>
      <c r="AE88" t="s">
        <v>80</v>
      </c>
      <c r="AF88" t="s">
        <v>81</v>
      </c>
      <c r="AG88" t="s">
        <v>59</v>
      </c>
      <c r="AH88" t="s">
        <v>60</v>
      </c>
    </row>
    <row r="89" spans="1:34" x14ac:dyDescent="0.3">
      <c r="A89" t="s">
        <v>749</v>
      </c>
      <c r="B89" t="s">
        <v>789</v>
      </c>
      <c r="C89">
        <v>1979</v>
      </c>
      <c r="D89">
        <v>2009</v>
      </c>
      <c r="E89" t="s">
        <v>39</v>
      </c>
      <c r="F89" t="s">
        <v>40</v>
      </c>
      <c r="G89" t="s">
        <v>928</v>
      </c>
      <c r="H89" t="s">
        <v>929</v>
      </c>
      <c r="I89" t="s">
        <v>43</v>
      </c>
      <c r="J89" t="s">
        <v>930</v>
      </c>
      <c r="K89" t="s">
        <v>931</v>
      </c>
      <c r="L89" t="s">
        <v>932</v>
      </c>
      <c r="M89" t="s">
        <v>927</v>
      </c>
      <c r="N89">
        <v>0.8</v>
      </c>
      <c r="O89">
        <v>0.8</v>
      </c>
      <c r="P89">
        <v>0.8</v>
      </c>
      <c r="Q89" t="b">
        <v>0</v>
      </c>
      <c r="R89" s="19">
        <v>0.39</v>
      </c>
      <c r="S89" s="19">
        <v>0.39</v>
      </c>
      <c r="T89" s="19">
        <v>0.39</v>
      </c>
      <c r="U89" s="19">
        <v>0.39</v>
      </c>
      <c r="V89" t="s">
        <v>48</v>
      </c>
      <c r="W89" t="s">
        <v>49</v>
      </c>
      <c r="X89" t="s">
        <v>50</v>
      </c>
      <c r="Y89" t="s">
        <v>51</v>
      </c>
      <c r="Z89" t="s">
        <v>87</v>
      </c>
      <c r="AA89" t="s">
        <v>53</v>
      </c>
      <c r="AB89" t="s">
        <v>1564</v>
      </c>
      <c r="AC89" t="s">
        <v>1565</v>
      </c>
      <c r="AD89" t="s">
        <v>56</v>
      </c>
      <c r="AE89" t="s">
        <v>80</v>
      </c>
      <c r="AF89" t="s">
        <v>81</v>
      </c>
      <c r="AG89" t="s">
        <v>59</v>
      </c>
      <c r="AH89" t="s">
        <v>60</v>
      </c>
    </row>
    <row r="90" spans="1:34" x14ac:dyDescent="0.3">
      <c r="A90" t="s">
        <v>750</v>
      </c>
      <c r="B90" t="s">
        <v>790</v>
      </c>
      <c r="C90">
        <v>2010</v>
      </c>
      <c r="D90">
        <v>2030</v>
      </c>
      <c r="E90" t="s">
        <v>39</v>
      </c>
      <c r="F90" t="s">
        <v>841</v>
      </c>
      <c r="G90" t="s">
        <v>933</v>
      </c>
      <c r="H90" t="s">
        <v>934</v>
      </c>
      <c r="I90" t="s">
        <v>43</v>
      </c>
      <c r="J90" t="s">
        <v>935</v>
      </c>
      <c r="K90" t="s">
        <v>936</v>
      </c>
      <c r="L90" t="s">
        <v>937</v>
      </c>
      <c r="M90" t="s">
        <v>927</v>
      </c>
      <c r="N90">
        <v>0.8</v>
      </c>
      <c r="O90">
        <v>0.8</v>
      </c>
      <c r="P90">
        <v>0.8</v>
      </c>
      <c r="Q90" t="b">
        <v>0</v>
      </c>
      <c r="R90" s="19">
        <v>0.37</v>
      </c>
      <c r="S90" s="19">
        <v>0.37</v>
      </c>
      <c r="T90" s="19">
        <v>0.37</v>
      </c>
      <c r="U90" s="19">
        <v>0.37</v>
      </c>
      <c r="V90" t="s">
        <v>78</v>
      </c>
      <c r="W90" t="s">
        <v>528</v>
      </c>
      <c r="X90" t="s">
        <v>50</v>
      </c>
      <c r="Y90" t="s">
        <v>79</v>
      </c>
      <c r="Z90" t="s">
        <v>87</v>
      </c>
      <c r="AA90" t="s">
        <v>53</v>
      </c>
      <c r="AB90" t="s">
        <v>1564</v>
      </c>
      <c r="AC90" t="s">
        <v>1565</v>
      </c>
      <c r="AD90" t="s">
        <v>56</v>
      </c>
      <c r="AE90" t="s">
        <v>627</v>
      </c>
      <c r="AF90" t="s">
        <v>643</v>
      </c>
      <c r="AG90" t="s">
        <v>589</v>
      </c>
      <c r="AH90" t="s">
        <v>60</v>
      </c>
    </row>
    <row r="91" spans="1:34" x14ac:dyDescent="0.3">
      <c r="A91" t="s">
        <v>751</v>
      </c>
      <c r="B91" t="s">
        <v>791</v>
      </c>
      <c r="C91">
        <v>1000</v>
      </c>
      <c r="D91">
        <v>1978</v>
      </c>
      <c r="E91" t="s">
        <v>39</v>
      </c>
      <c r="F91" t="s">
        <v>40</v>
      </c>
      <c r="G91" t="s">
        <v>938</v>
      </c>
      <c r="H91" t="s">
        <v>939</v>
      </c>
      <c r="I91" t="s">
        <v>43</v>
      </c>
      <c r="J91" t="s">
        <v>940</v>
      </c>
      <c r="K91" t="s">
        <v>941</v>
      </c>
      <c r="L91" t="s">
        <v>942</v>
      </c>
      <c r="M91" t="s">
        <v>927</v>
      </c>
      <c r="N91">
        <v>0.8</v>
      </c>
      <c r="O91">
        <v>0.8</v>
      </c>
      <c r="P91">
        <v>0.8</v>
      </c>
      <c r="Q91" t="b">
        <v>0</v>
      </c>
      <c r="R91" s="19">
        <v>0.37</v>
      </c>
      <c r="S91" s="19">
        <v>0.37</v>
      </c>
      <c r="T91" s="19">
        <v>0.37</v>
      </c>
      <c r="U91" s="19">
        <v>0.37</v>
      </c>
      <c r="V91" t="s">
        <v>48</v>
      </c>
      <c r="W91" t="s">
        <v>49</v>
      </c>
      <c r="X91" t="s">
        <v>50</v>
      </c>
      <c r="Y91" t="s">
        <v>51</v>
      </c>
      <c r="Z91" t="s">
        <v>87</v>
      </c>
      <c r="AA91" t="s">
        <v>53</v>
      </c>
      <c r="AB91" t="s">
        <v>1564</v>
      </c>
      <c r="AC91" t="s">
        <v>1565</v>
      </c>
      <c r="AD91" t="s">
        <v>56</v>
      </c>
      <c r="AE91" t="s">
        <v>80</v>
      </c>
      <c r="AF91" t="s">
        <v>81</v>
      </c>
      <c r="AG91" t="s">
        <v>59</v>
      </c>
      <c r="AH91" t="s">
        <v>60</v>
      </c>
    </row>
    <row r="92" spans="1:34" x14ac:dyDescent="0.3">
      <c r="A92" t="s">
        <v>752</v>
      </c>
      <c r="B92" t="s">
        <v>792</v>
      </c>
      <c r="C92">
        <v>1979</v>
      </c>
      <c r="D92">
        <v>2009</v>
      </c>
      <c r="E92" t="s">
        <v>39</v>
      </c>
      <c r="F92" t="s">
        <v>40</v>
      </c>
      <c r="G92" t="s">
        <v>943</v>
      </c>
      <c r="H92" t="s">
        <v>944</v>
      </c>
      <c r="I92" t="s">
        <v>43</v>
      </c>
      <c r="J92" t="s">
        <v>945</v>
      </c>
      <c r="K92" t="s">
        <v>946</v>
      </c>
      <c r="L92" t="s">
        <v>947</v>
      </c>
      <c r="M92" t="s">
        <v>927</v>
      </c>
      <c r="N92">
        <v>0.8</v>
      </c>
      <c r="O92">
        <v>0.8</v>
      </c>
      <c r="P92">
        <v>0.8</v>
      </c>
      <c r="Q92" t="b">
        <v>0</v>
      </c>
      <c r="R92" s="19">
        <v>0.44</v>
      </c>
      <c r="S92" s="19">
        <v>0.44</v>
      </c>
      <c r="T92" s="19">
        <v>0.44</v>
      </c>
      <c r="U92" s="19">
        <v>0.44</v>
      </c>
      <c r="V92" t="s">
        <v>48</v>
      </c>
      <c r="W92" t="s">
        <v>49</v>
      </c>
      <c r="X92" t="s">
        <v>50</v>
      </c>
      <c r="Y92" t="s">
        <v>51</v>
      </c>
      <c r="Z92" t="s">
        <v>87</v>
      </c>
      <c r="AA92" t="s">
        <v>53</v>
      </c>
      <c r="AB92" t="s">
        <v>1564</v>
      </c>
      <c r="AC92" t="s">
        <v>1565</v>
      </c>
      <c r="AD92" t="s">
        <v>56</v>
      </c>
      <c r="AE92" t="s">
        <v>80</v>
      </c>
      <c r="AF92" t="s">
        <v>81</v>
      </c>
      <c r="AG92" t="s">
        <v>59</v>
      </c>
      <c r="AH92" t="s">
        <v>60</v>
      </c>
    </row>
    <row r="93" spans="1:34" x14ac:dyDescent="0.3">
      <c r="A93" t="s">
        <v>753</v>
      </c>
      <c r="B93" t="s">
        <v>793</v>
      </c>
      <c r="C93">
        <v>2010</v>
      </c>
      <c r="D93">
        <v>2030</v>
      </c>
      <c r="E93" t="s">
        <v>39</v>
      </c>
      <c r="F93" t="s">
        <v>841</v>
      </c>
      <c r="G93" t="s">
        <v>948</v>
      </c>
      <c r="H93" t="s">
        <v>949</v>
      </c>
      <c r="I93" t="s">
        <v>43</v>
      </c>
      <c r="J93" t="s">
        <v>950</v>
      </c>
      <c r="K93" t="s">
        <v>951</v>
      </c>
      <c r="L93" t="s">
        <v>952</v>
      </c>
      <c r="M93" t="s">
        <v>927</v>
      </c>
      <c r="N93">
        <v>0.8</v>
      </c>
      <c r="O93">
        <v>0.8</v>
      </c>
      <c r="P93">
        <v>0.8</v>
      </c>
      <c r="Q93" t="b">
        <v>0</v>
      </c>
      <c r="R93" s="19">
        <v>0.46</v>
      </c>
      <c r="S93" s="19">
        <v>0.46</v>
      </c>
      <c r="T93" s="19">
        <v>0.46</v>
      </c>
      <c r="U93" s="19">
        <v>0.46</v>
      </c>
      <c r="V93" t="s">
        <v>78</v>
      </c>
      <c r="W93" t="s">
        <v>528</v>
      </c>
      <c r="X93" t="s">
        <v>50</v>
      </c>
      <c r="Y93" t="s">
        <v>79</v>
      </c>
      <c r="Z93" t="s">
        <v>87</v>
      </c>
      <c r="AA93" t="s">
        <v>53</v>
      </c>
      <c r="AB93" t="s">
        <v>1564</v>
      </c>
      <c r="AC93" t="s">
        <v>1565</v>
      </c>
      <c r="AD93" t="s">
        <v>56</v>
      </c>
      <c r="AE93" t="s">
        <v>627</v>
      </c>
      <c r="AF93" t="s">
        <v>643</v>
      </c>
      <c r="AG93" t="s">
        <v>589</v>
      </c>
      <c r="AH93" t="s">
        <v>60</v>
      </c>
    </row>
    <row r="94" spans="1:34" x14ac:dyDescent="0.3">
      <c r="A94" t="s">
        <v>754</v>
      </c>
      <c r="B94" t="s">
        <v>794</v>
      </c>
      <c r="C94">
        <v>1000</v>
      </c>
      <c r="D94">
        <v>1978</v>
      </c>
      <c r="E94" t="s">
        <v>39</v>
      </c>
      <c r="F94" t="s">
        <v>40</v>
      </c>
      <c r="G94" t="s">
        <v>953</v>
      </c>
      <c r="H94" t="s">
        <v>954</v>
      </c>
      <c r="I94" t="s">
        <v>43</v>
      </c>
      <c r="J94" t="s">
        <v>955</v>
      </c>
      <c r="K94" t="s">
        <v>956</v>
      </c>
      <c r="L94" t="s">
        <v>957</v>
      </c>
      <c r="M94" t="s">
        <v>927</v>
      </c>
      <c r="N94">
        <v>0.8</v>
      </c>
      <c r="O94">
        <v>0.8</v>
      </c>
      <c r="P94">
        <v>0.8</v>
      </c>
      <c r="Q94" t="b">
        <v>0</v>
      </c>
      <c r="R94" s="19">
        <v>0.27</v>
      </c>
      <c r="S94" s="19">
        <v>0.27</v>
      </c>
      <c r="T94" s="19">
        <v>0.27</v>
      </c>
      <c r="U94" s="19">
        <v>0.27</v>
      </c>
      <c r="V94" t="s">
        <v>48</v>
      </c>
      <c r="W94" t="s">
        <v>49</v>
      </c>
      <c r="X94" t="s">
        <v>50</v>
      </c>
      <c r="Y94" t="s">
        <v>51</v>
      </c>
      <c r="Z94" t="s">
        <v>87</v>
      </c>
      <c r="AA94" t="s">
        <v>53</v>
      </c>
      <c r="AB94" t="s">
        <v>1564</v>
      </c>
      <c r="AC94" t="s">
        <v>1565</v>
      </c>
      <c r="AD94" t="s">
        <v>56</v>
      </c>
      <c r="AE94" t="s">
        <v>80</v>
      </c>
      <c r="AF94" t="s">
        <v>81</v>
      </c>
      <c r="AG94" t="s">
        <v>59</v>
      </c>
      <c r="AH94" t="s">
        <v>60</v>
      </c>
    </row>
    <row r="95" spans="1:34" x14ac:dyDescent="0.3">
      <c r="A95" t="s">
        <v>755</v>
      </c>
      <c r="B95" t="s">
        <v>795</v>
      </c>
      <c r="C95">
        <v>1979</v>
      </c>
      <c r="D95">
        <v>2009</v>
      </c>
      <c r="E95" t="s">
        <v>39</v>
      </c>
      <c r="F95" t="s">
        <v>40</v>
      </c>
      <c r="G95" t="s">
        <v>958</v>
      </c>
      <c r="H95" t="s">
        <v>959</v>
      </c>
      <c r="I95" t="s">
        <v>43</v>
      </c>
      <c r="J95" t="s">
        <v>960</v>
      </c>
      <c r="K95" t="s">
        <v>961</v>
      </c>
      <c r="L95" t="s">
        <v>962</v>
      </c>
      <c r="M95" t="s">
        <v>927</v>
      </c>
      <c r="N95">
        <v>0.8</v>
      </c>
      <c r="O95">
        <v>0.8</v>
      </c>
      <c r="P95">
        <v>0.8</v>
      </c>
      <c r="Q95" t="b">
        <v>0</v>
      </c>
      <c r="R95" s="19">
        <v>0.34</v>
      </c>
      <c r="S95" s="19">
        <v>0.34</v>
      </c>
      <c r="T95" s="19">
        <v>0.34</v>
      </c>
      <c r="U95" s="19">
        <v>0.34</v>
      </c>
      <c r="V95" t="s">
        <v>48</v>
      </c>
      <c r="W95" t="s">
        <v>49</v>
      </c>
      <c r="X95" t="s">
        <v>50</v>
      </c>
      <c r="Y95" t="s">
        <v>51</v>
      </c>
      <c r="Z95" t="s">
        <v>87</v>
      </c>
      <c r="AA95" t="s">
        <v>53</v>
      </c>
      <c r="AB95" t="s">
        <v>1564</v>
      </c>
      <c r="AC95" t="s">
        <v>1565</v>
      </c>
      <c r="AD95" t="s">
        <v>56</v>
      </c>
      <c r="AE95" t="s">
        <v>80</v>
      </c>
      <c r="AF95" t="s">
        <v>81</v>
      </c>
      <c r="AG95" t="s">
        <v>59</v>
      </c>
      <c r="AH95" t="s">
        <v>60</v>
      </c>
    </row>
    <row r="96" spans="1:34" x14ac:dyDescent="0.3">
      <c r="A96" t="s">
        <v>756</v>
      </c>
      <c r="B96" t="s">
        <v>796</v>
      </c>
      <c r="C96">
        <v>2010</v>
      </c>
      <c r="D96">
        <v>2030</v>
      </c>
      <c r="E96" t="s">
        <v>39</v>
      </c>
      <c r="F96" t="s">
        <v>841</v>
      </c>
      <c r="G96" t="s">
        <v>963</v>
      </c>
      <c r="H96" t="s">
        <v>964</v>
      </c>
      <c r="I96" t="s">
        <v>43</v>
      </c>
      <c r="J96" t="s">
        <v>965</v>
      </c>
      <c r="K96" t="s">
        <v>966</v>
      </c>
      <c r="L96" t="s">
        <v>967</v>
      </c>
      <c r="M96" t="s">
        <v>927</v>
      </c>
      <c r="N96">
        <v>0.8</v>
      </c>
      <c r="O96">
        <v>0.8</v>
      </c>
      <c r="P96">
        <v>0.8</v>
      </c>
      <c r="Q96" t="b">
        <v>0</v>
      </c>
      <c r="R96" s="19">
        <v>0.47</v>
      </c>
      <c r="S96" s="19">
        <v>0.47</v>
      </c>
      <c r="T96" s="19">
        <v>0.47</v>
      </c>
      <c r="U96" s="19">
        <v>0.47</v>
      </c>
      <c r="V96" t="s">
        <v>78</v>
      </c>
      <c r="W96" t="s">
        <v>528</v>
      </c>
      <c r="X96" t="s">
        <v>50</v>
      </c>
      <c r="Y96" t="s">
        <v>79</v>
      </c>
      <c r="Z96" t="s">
        <v>87</v>
      </c>
      <c r="AA96" t="s">
        <v>53</v>
      </c>
      <c r="AB96" t="s">
        <v>1564</v>
      </c>
      <c r="AC96" t="s">
        <v>1565</v>
      </c>
      <c r="AD96" t="s">
        <v>56</v>
      </c>
      <c r="AE96" t="s">
        <v>627</v>
      </c>
      <c r="AF96" t="s">
        <v>643</v>
      </c>
      <c r="AG96" t="s">
        <v>589</v>
      </c>
      <c r="AH96" t="s">
        <v>60</v>
      </c>
    </row>
    <row r="97" spans="1:34" x14ac:dyDescent="0.3">
      <c r="A97" t="s">
        <v>757</v>
      </c>
      <c r="B97" t="s">
        <v>797</v>
      </c>
      <c r="C97">
        <v>1000</v>
      </c>
      <c r="D97">
        <v>1978</v>
      </c>
      <c r="E97" t="s">
        <v>39</v>
      </c>
      <c r="F97" t="s">
        <v>40</v>
      </c>
      <c r="G97" t="s">
        <v>968</v>
      </c>
      <c r="H97" t="s">
        <v>969</v>
      </c>
      <c r="I97" t="s">
        <v>43</v>
      </c>
      <c r="J97" t="s">
        <v>970</v>
      </c>
      <c r="K97" t="s">
        <v>971</v>
      </c>
      <c r="L97" t="s">
        <v>972</v>
      </c>
      <c r="M97" t="s">
        <v>927</v>
      </c>
      <c r="N97">
        <v>0.8</v>
      </c>
      <c r="O97">
        <v>0.8</v>
      </c>
      <c r="P97">
        <v>0.8</v>
      </c>
      <c r="Q97" t="b">
        <v>0</v>
      </c>
      <c r="R97" s="19">
        <v>0.4</v>
      </c>
      <c r="S97" s="19">
        <v>0.4</v>
      </c>
      <c r="T97" s="19">
        <v>0.4</v>
      </c>
      <c r="U97" s="19">
        <v>0.4</v>
      </c>
      <c r="V97" t="s">
        <v>48</v>
      </c>
      <c r="W97" t="s">
        <v>49</v>
      </c>
      <c r="X97" t="s">
        <v>50</v>
      </c>
      <c r="Y97" t="s">
        <v>51</v>
      </c>
      <c r="Z97" t="s">
        <v>87</v>
      </c>
      <c r="AA97" t="s">
        <v>53</v>
      </c>
      <c r="AB97" t="s">
        <v>1564</v>
      </c>
      <c r="AC97" t="s">
        <v>1565</v>
      </c>
      <c r="AD97" t="s">
        <v>56</v>
      </c>
      <c r="AE97" t="s">
        <v>80</v>
      </c>
      <c r="AF97" t="s">
        <v>81</v>
      </c>
      <c r="AG97" t="s">
        <v>59</v>
      </c>
      <c r="AH97" t="s">
        <v>60</v>
      </c>
    </row>
    <row r="98" spans="1:34" x14ac:dyDescent="0.3">
      <c r="A98" t="s">
        <v>758</v>
      </c>
      <c r="B98" t="s">
        <v>798</v>
      </c>
      <c r="C98">
        <v>1979</v>
      </c>
      <c r="D98">
        <v>2009</v>
      </c>
      <c r="E98" t="s">
        <v>39</v>
      </c>
      <c r="F98" t="s">
        <v>40</v>
      </c>
      <c r="G98" t="s">
        <v>973</v>
      </c>
      <c r="H98" t="s">
        <v>974</v>
      </c>
      <c r="I98" t="s">
        <v>43</v>
      </c>
      <c r="J98" t="s">
        <v>975</v>
      </c>
      <c r="K98" t="s">
        <v>976</v>
      </c>
      <c r="L98" t="s">
        <v>977</v>
      </c>
      <c r="M98" t="s">
        <v>927</v>
      </c>
      <c r="N98">
        <v>0.8</v>
      </c>
      <c r="O98">
        <v>0.8</v>
      </c>
      <c r="P98">
        <v>0.8</v>
      </c>
      <c r="Q98" t="b">
        <v>0</v>
      </c>
      <c r="R98" s="19">
        <v>0.43</v>
      </c>
      <c r="S98" s="19">
        <v>0.43</v>
      </c>
      <c r="T98" s="19">
        <v>0.43</v>
      </c>
      <c r="U98" s="19">
        <v>0.43</v>
      </c>
      <c r="V98" t="s">
        <v>48</v>
      </c>
      <c r="W98" t="s">
        <v>49</v>
      </c>
      <c r="X98" t="s">
        <v>50</v>
      </c>
      <c r="Y98" t="s">
        <v>51</v>
      </c>
      <c r="Z98" t="s">
        <v>87</v>
      </c>
      <c r="AA98" t="s">
        <v>53</v>
      </c>
      <c r="AB98" t="s">
        <v>1564</v>
      </c>
      <c r="AC98" t="s">
        <v>1565</v>
      </c>
      <c r="AD98" t="s">
        <v>56</v>
      </c>
      <c r="AE98" t="s">
        <v>80</v>
      </c>
      <c r="AF98" t="s">
        <v>81</v>
      </c>
      <c r="AG98" t="s">
        <v>59</v>
      </c>
      <c r="AH98" t="s">
        <v>60</v>
      </c>
    </row>
    <row r="99" spans="1:34" x14ac:dyDescent="0.3">
      <c r="A99" t="s">
        <v>759</v>
      </c>
      <c r="B99" t="s">
        <v>799</v>
      </c>
      <c r="C99">
        <v>2010</v>
      </c>
      <c r="D99">
        <v>2030</v>
      </c>
      <c r="E99" t="s">
        <v>39</v>
      </c>
      <c r="F99" t="s">
        <v>841</v>
      </c>
      <c r="G99" t="s">
        <v>978</v>
      </c>
      <c r="H99" t="s">
        <v>979</v>
      </c>
      <c r="I99" t="s">
        <v>43</v>
      </c>
      <c r="J99" t="s">
        <v>980</v>
      </c>
      <c r="K99" t="s">
        <v>981</v>
      </c>
      <c r="L99" t="s">
        <v>982</v>
      </c>
      <c r="M99" t="s">
        <v>927</v>
      </c>
      <c r="N99">
        <v>0.8</v>
      </c>
      <c r="O99">
        <v>0.8</v>
      </c>
      <c r="P99">
        <v>0.8</v>
      </c>
      <c r="Q99" t="b">
        <v>0</v>
      </c>
      <c r="R99" s="19">
        <v>0.36</v>
      </c>
      <c r="S99" s="19">
        <v>0.36</v>
      </c>
      <c r="T99" s="19">
        <v>0.36</v>
      </c>
      <c r="U99" s="19">
        <v>0.36</v>
      </c>
      <c r="V99" t="s">
        <v>78</v>
      </c>
      <c r="W99" t="s">
        <v>528</v>
      </c>
      <c r="X99" t="s">
        <v>50</v>
      </c>
      <c r="Y99" t="s">
        <v>79</v>
      </c>
      <c r="Z99" t="s">
        <v>87</v>
      </c>
      <c r="AA99" t="s">
        <v>53</v>
      </c>
      <c r="AB99" t="s">
        <v>1564</v>
      </c>
      <c r="AC99" t="s">
        <v>1565</v>
      </c>
      <c r="AD99" t="s">
        <v>56</v>
      </c>
      <c r="AE99" t="s">
        <v>627</v>
      </c>
      <c r="AF99" t="s">
        <v>643</v>
      </c>
      <c r="AG99" t="s">
        <v>589</v>
      </c>
      <c r="AH99" t="s">
        <v>60</v>
      </c>
    </row>
    <row r="100" spans="1:34" x14ac:dyDescent="0.3">
      <c r="A100" t="s">
        <v>760</v>
      </c>
      <c r="B100" t="s">
        <v>800</v>
      </c>
      <c r="C100">
        <v>1000</v>
      </c>
      <c r="D100">
        <v>1978</v>
      </c>
      <c r="E100" t="s">
        <v>39</v>
      </c>
      <c r="F100" t="s">
        <v>40</v>
      </c>
      <c r="G100" t="s">
        <v>983</v>
      </c>
      <c r="H100" t="s">
        <v>984</v>
      </c>
      <c r="I100" t="s">
        <v>43</v>
      </c>
      <c r="J100" t="s">
        <v>985</v>
      </c>
      <c r="K100" t="s">
        <v>986</v>
      </c>
      <c r="L100" t="s">
        <v>987</v>
      </c>
      <c r="M100" t="s">
        <v>927</v>
      </c>
      <c r="N100">
        <v>0.8</v>
      </c>
      <c r="O100">
        <v>0.8</v>
      </c>
      <c r="P100">
        <v>0.8</v>
      </c>
      <c r="Q100" t="b">
        <v>0</v>
      </c>
      <c r="R100" s="19">
        <v>0.3</v>
      </c>
      <c r="S100" s="19">
        <v>0.3</v>
      </c>
      <c r="T100" s="19">
        <v>0.3</v>
      </c>
      <c r="U100" s="19">
        <v>0.3</v>
      </c>
      <c r="V100" t="s">
        <v>48</v>
      </c>
      <c r="W100" t="s">
        <v>49</v>
      </c>
      <c r="X100" t="s">
        <v>50</v>
      </c>
      <c r="Y100" t="s">
        <v>51</v>
      </c>
      <c r="Z100" t="s">
        <v>87</v>
      </c>
      <c r="AA100" t="s">
        <v>53</v>
      </c>
      <c r="AB100" t="s">
        <v>1564</v>
      </c>
      <c r="AC100" t="s">
        <v>1565</v>
      </c>
      <c r="AD100" t="s">
        <v>56</v>
      </c>
      <c r="AE100" t="s">
        <v>80</v>
      </c>
      <c r="AF100" t="s">
        <v>81</v>
      </c>
      <c r="AG100" t="s">
        <v>59</v>
      </c>
      <c r="AH100" t="s">
        <v>60</v>
      </c>
    </row>
    <row r="101" spans="1:34" x14ac:dyDescent="0.3">
      <c r="A101" t="s">
        <v>761</v>
      </c>
      <c r="B101" t="s">
        <v>801</v>
      </c>
      <c r="C101">
        <v>1979</v>
      </c>
      <c r="D101">
        <v>2009</v>
      </c>
      <c r="E101" t="s">
        <v>39</v>
      </c>
      <c r="F101" t="s">
        <v>40</v>
      </c>
      <c r="G101" t="s">
        <v>988</v>
      </c>
      <c r="H101" t="s">
        <v>989</v>
      </c>
      <c r="I101" t="s">
        <v>43</v>
      </c>
      <c r="J101" t="s">
        <v>990</v>
      </c>
      <c r="K101" t="s">
        <v>991</v>
      </c>
      <c r="L101" t="s">
        <v>992</v>
      </c>
      <c r="M101" t="s">
        <v>927</v>
      </c>
      <c r="N101">
        <v>0.8</v>
      </c>
      <c r="O101">
        <v>0.8</v>
      </c>
      <c r="P101">
        <v>0.8</v>
      </c>
      <c r="Q101" t="b">
        <v>0</v>
      </c>
      <c r="R101" s="19">
        <v>0.28999999999999998</v>
      </c>
      <c r="S101" s="19">
        <v>0.28999999999999998</v>
      </c>
      <c r="T101" s="19">
        <v>0.28999999999999998</v>
      </c>
      <c r="U101" s="19">
        <v>0.28999999999999998</v>
      </c>
      <c r="V101" t="s">
        <v>48</v>
      </c>
      <c r="W101" t="s">
        <v>49</v>
      </c>
      <c r="X101" t="s">
        <v>50</v>
      </c>
      <c r="Y101" t="s">
        <v>51</v>
      </c>
      <c r="Z101" t="s">
        <v>87</v>
      </c>
      <c r="AA101" t="s">
        <v>53</v>
      </c>
      <c r="AB101" t="s">
        <v>1564</v>
      </c>
      <c r="AC101" t="s">
        <v>1565</v>
      </c>
      <c r="AD101" t="s">
        <v>56</v>
      </c>
      <c r="AE101" t="s">
        <v>80</v>
      </c>
      <c r="AF101" t="s">
        <v>81</v>
      </c>
      <c r="AG101" t="s">
        <v>59</v>
      </c>
      <c r="AH101" t="s">
        <v>60</v>
      </c>
    </row>
    <row r="102" spans="1:34" x14ac:dyDescent="0.3">
      <c r="A102" t="s">
        <v>762</v>
      </c>
      <c r="B102" t="s">
        <v>802</v>
      </c>
      <c r="C102">
        <v>2010</v>
      </c>
      <c r="D102">
        <v>2030</v>
      </c>
      <c r="E102" t="s">
        <v>39</v>
      </c>
      <c r="F102" t="s">
        <v>841</v>
      </c>
      <c r="G102" t="s">
        <v>993</v>
      </c>
      <c r="H102" t="s">
        <v>994</v>
      </c>
      <c r="I102" t="s">
        <v>43</v>
      </c>
      <c r="J102" t="s">
        <v>995</v>
      </c>
      <c r="K102" t="s">
        <v>996</v>
      </c>
      <c r="L102" t="s">
        <v>997</v>
      </c>
      <c r="M102" t="s">
        <v>927</v>
      </c>
      <c r="N102">
        <v>0.8</v>
      </c>
      <c r="O102">
        <v>0.8</v>
      </c>
      <c r="P102">
        <v>0.8</v>
      </c>
      <c r="Q102" t="b">
        <v>0</v>
      </c>
      <c r="R102" s="19">
        <v>0.51</v>
      </c>
      <c r="S102" s="19">
        <v>0.51</v>
      </c>
      <c r="T102" s="19">
        <v>0.51</v>
      </c>
      <c r="U102" s="19">
        <v>0.51</v>
      </c>
      <c r="V102" t="s">
        <v>78</v>
      </c>
      <c r="W102" t="s">
        <v>528</v>
      </c>
      <c r="X102" t="s">
        <v>50</v>
      </c>
      <c r="Y102" t="s">
        <v>79</v>
      </c>
      <c r="Z102" t="s">
        <v>87</v>
      </c>
      <c r="AA102" t="s">
        <v>53</v>
      </c>
      <c r="AB102" t="s">
        <v>1564</v>
      </c>
      <c r="AC102" t="s">
        <v>1565</v>
      </c>
      <c r="AD102" t="s">
        <v>56</v>
      </c>
      <c r="AE102" t="s">
        <v>627</v>
      </c>
      <c r="AF102" t="s">
        <v>643</v>
      </c>
      <c r="AG102" t="s">
        <v>589</v>
      </c>
      <c r="AH102" t="s">
        <v>60</v>
      </c>
    </row>
    <row r="103" spans="1:34" x14ac:dyDescent="0.3">
      <c r="A103" t="s">
        <v>763</v>
      </c>
      <c r="B103" t="s">
        <v>803</v>
      </c>
      <c r="C103">
        <v>1000</v>
      </c>
      <c r="D103">
        <v>1978</v>
      </c>
      <c r="E103" t="s">
        <v>39</v>
      </c>
      <c r="F103" t="s">
        <v>40</v>
      </c>
      <c r="G103" t="s">
        <v>998</v>
      </c>
      <c r="H103" t="s">
        <v>999</v>
      </c>
      <c r="I103" t="s">
        <v>43</v>
      </c>
      <c r="J103" t="s">
        <v>1000</v>
      </c>
      <c r="K103" t="s">
        <v>1001</v>
      </c>
      <c r="L103" t="s">
        <v>1002</v>
      </c>
      <c r="M103" t="s">
        <v>927</v>
      </c>
      <c r="N103">
        <v>0.8</v>
      </c>
      <c r="O103">
        <v>0.8</v>
      </c>
      <c r="P103">
        <v>0.8</v>
      </c>
      <c r="Q103" t="b">
        <v>0</v>
      </c>
      <c r="R103" s="19">
        <v>0.59</v>
      </c>
      <c r="S103" s="19">
        <v>0.59</v>
      </c>
      <c r="T103" s="19">
        <v>0.59</v>
      </c>
      <c r="U103" s="19">
        <v>0.59</v>
      </c>
      <c r="V103" t="s">
        <v>48</v>
      </c>
      <c r="W103" t="s">
        <v>49</v>
      </c>
      <c r="X103" t="s">
        <v>50</v>
      </c>
      <c r="Y103" t="s">
        <v>51</v>
      </c>
      <c r="Z103" t="s">
        <v>87</v>
      </c>
      <c r="AA103" t="s">
        <v>53</v>
      </c>
      <c r="AB103" t="s">
        <v>1564</v>
      </c>
      <c r="AC103" t="s">
        <v>1565</v>
      </c>
      <c r="AD103" t="s">
        <v>56</v>
      </c>
      <c r="AE103" t="s">
        <v>80</v>
      </c>
      <c r="AF103" t="s">
        <v>81</v>
      </c>
      <c r="AG103" t="s">
        <v>59</v>
      </c>
      <c r="AH103" t="s">
        <v>60</v>
      </c>
    </row>
    <row r="104" spans="1:34" x14ac:dyDescent="0.3">
      <c r="A104" t="s">
        <v>764</v>
      </c>
      <c r="B104" t="s">
        <v>804</v>
      </c>
      <c r="C104">
        <v>1979</v>
      </c>
      <c r="D104">
        <v>2009</v>
      </c>
      <c r="E104" t="s">
        <v>39</v>
      </c>
      <c r="F104" t="s">
        <v>40</v>
      </c>
      <c r="G104" t="s">
        <v>1003</v>
      </c>
      <c r="H104" t="s">
        <v>1004</v>
      </c>
      <c r="I104" t="s">
        <v>43</v>
      </c>
      <c r="J104" t="s">
        <v>1005</v>
      </c>
      <c r="K104" t="s">
        <v>1006</v>
      </c>
      <c r="L104" t="s">
        <v>1007</v>
      </c>
      <c r="M104" t="s">
        <v>927</v>
      </c>
      <c r="N104">
        <v>0.8</v>
      </c>
      <c r="O104">
        <v>0.8</v>
      </c>
      <c r="P104">
        <v>0.8</v>
      </c>
      <c r="Q104" t="b">
        <v>0</v>
      </c>
      <c r="R104" s="19">
        <v>0.27</v>
      </c>
      <c r="S104" s="19">
        <v>0.27</v>
      </c>
      <c r="T104" s="19">
        <v>0.27</v>
      </c>
      <c r="U104" s="19">
        <v>0.27</v>
      </c>
      <c r="V104" t="s">
        <v>48</v>
      </c>
      <c r="W104" t="s">
        <v>49</v>
      </c>
      <c r="X104" t="s">
        <v>50</v>
      </c>
      <c r="Y104" t="s">
        <v>51</v>
      </c>
      <c r="Z104" t="s">
        <v>87</v>
      </c>
      <c r="AA104" t="s">
        <v>53</v>
      </c>
      <c r="AB104" t="s">
        <v>1564</v>
      </c>
      <c r="AC104" t="s">
        <v>1565</v>
      </c>
      <c r="AD104" t="s">
        <v>56</v>
      </c>
      <c r="AE104" t="s">
        <v>80</v>
      </c>
      <c r="AF104" t="s">
        <v>81</v>
      </c>
      <c r="AG104" t="s">
        <v>59</v>
      </c>
      <c r="AH104" t="s">
        <v>60</v>
      </c>
    </row>
    <row r="105" spans="1:34" x14ac:dyDescent="0.3">
      <c r="A105" t="s">
        <v>765</v>
      </c>
      <c r="B105" t="s">
        <v>805</v>
      </c>
      <c r="C105">
        <v>2010</v>
      </c>
      <c r="D105">
        <v>2030</v>
      </c>
      <c r="E105" t="s">
        <v>39</v>
      </c>
      <c r="F105" t="s">
        <v>841</v>
      </c>
      <c r="G105" t="s">
        <v>1008</v>
      </c>
      <c r="H105" t="s">
        <v>1009</v>
      </c>
      <c r="I105" t="s">
        <v>43</v>
      </c>
      <c r="J105" t="s">
        <v>1010</v>
      </c>
      <c r="K105" t="s">
        <v>1011</v>
      </c>
      <c r="L105" t="s">
        <v>1012</v>
      </c>
      <c r="M105" t="s">
        <v>927</v>
      </c>
      <c r="N105">
        <v>0.8</v>
      </c>
      <c r="O105">
        <v>0.8</v>
      </c>
      <c r="P105">
        <v>0.8</v>
      </c>
      <c r="Q105" t="b">
        <v>0</v>
      </c>
      <c r="R105" s="19">
        <v>0.13</v>
      </c>
      <c r="S105" s="19">
        <v>0.13</v>
      </c>
      <c r="T105" s="19">
        <v>0.13</v>
      </c>
      <c r="U105" s="19">
        <v>0.13</v>
      </c>
      <c r="V105" t="s">
        <v>78</v>
      </c>
      <c r="W105" t="s">
        <v>528</v>
      </c>
      <c r="X105" t="s">
        <v>50</v>
      </c>
      <c r="Y105" t="s">
        <v>79</v>
      </c>
      <c r="Z105" t="s">
        <v>87</v>
      </c>
      <c r="AA105" t="s">
        <v>53</v>
      </c>
      <c r="AB105" t="s">
        <v>1564</v>
      </c>
      <c r="AC105" t="s">
        <v>1565</v>
      </c>
      <c r="AD105" t="s">
        <v>56</v>
      </c>
      <c r="AE105" t="s">
        <v>627</v>
      </c>
      <c r="AF105" t="s">
        <v>643</v>
      </c>
      <c r="AG105" t="s">
        <v>589</v>
      </c>
      <c r="AH105" t="s">
        <v>60</v>
      </c>
    </row>
    <row r="106" spans="1:34" x14ac:dyDescent="0.3">
      <c r="A106" t="s">
        <v>766</v>
      </c>
      <c r="B106" t="s">
        <v>806</v>
      </c>
      <c r="C106">
        <v>1000</v>
      </c>
      <c r="D106">
        <v>1978</v>
      </c>
      <c r="E106" t="s">
        <v>39</v>
      </c>
      <c r="F106" t="s">
        <v>40</v>
      </c>
      <c r="G106" t="s">
        <v>1013</v>
      </c>
      <c r="H106" t="s">
        <v>1014</v>
      </c>
      <c r="I106" t="s">
        <v>43</v>
      </c>
      <c r="J106" t="s">
        <v>1015</v>
      </c>
      <c r="K106" t="s">
        <v>1016</v>
      </c>
      <c r="L106" t="s">
        <v>1017</v>
      </c>
      <c r="M106" t="s">
        <v>927</v>
      </c>
      <c r="N106">
        <v>0.8</v>
      </c>
      <c r="O106">
        <v>0.8</v>
      </c>
      <c r="P106">
        <v>0.8</v>
      </c>
      <c r="Q106" t="b">
        <v>0</v>
      </c>
      <c r="R106" s="19">
        <v>0.28000000000000003</v>
      </c>
      <c r="S106" s="19">
        <v>0.28000000000000003</v>
      </c>
      <c r="T106" s="19">
        <v>0.28000000000000003</v>
      </c>
      <c r="U106" s="19">
        <v>0.28000000000000003</v>
      </c>
      <c r="V106" t="s">
        <v>48</v>
      </c>
      <c r="W106" t="s">
        <v>49</v>
      </c>
      <c r="X106" t="s">
        <v>50</v>
      </c>
      <c r="Y106" t="s">
        <v>51</v>
      </c>
      <c r="Z106" t="s">
        <v>87</v>
      </c>
      <c r="AA106" t="s">
        <v>53</v>
      </c>
      <c r="AB106" t="s">
        <v>1564</v>
      </c>
      <c r="AC106" t="s">
        <v>1565</v>
      </c>
      <c r="AD106" t="s">
        <v>56</v>
      </c>
      <c r="AE106" t="s">
        <v>80</v>
      </c>
      <c r="AF106" t="s">
        <v>81</v>
      </c>
      <c r="AG106" t="s">
        <v>59</v>
      </c>
      <c r="AH106" t="s">
        <v>60</v>
      </c>
    </row>
    <row r="107" spans="1:34" x14ac:dyDescent="0.3">
      <c r="A107" t="s">
        <v>767</v>
      </c>
      <c r="B107" t="s">
        <v>807</v>
      </c>
      <c r="C107">
        <v>1979</v>
      </c>
      <c r="D107">
        <v>2009</v>
      </c>
      <c r="E107" t="s">
        <v>39</v>
      </c>
      <c r="F107" t="s">
        <v>40</v>
      </c>
      <c r="G107" t="s">
        <v>1018</v>
      </c>
      <c r="H107" t="s">
        <v>1019</v>
      </c>
      <c r="I107" t="s">
        <v>43</v>
      </c>
      <c r="J107" t="s">
        <v>1020</v>
      </c>
      <c r="K107" t="s">
        <v>1021</v>
      </c>
      <c r="L107" t="s">
        <v>1022</v>
      </c>
      <c r="M107" t="s">
        <v>927</v>
      </c>
      <c r="N107">
        <v>0.8</v>
      </c>
      <c r="O107">
        <v>0.8</v>
      </c>
      <c r="P107">
        <v>0.8</v>
      </c>
      <c r="Q107" t="b">
        <v>0</v>
      </c>
      <c r="R107" s="19">
        <v>0.33</v>
      </c>
      <c r="S107" s="19">
        <v>0.33</v>
      </c>
      <c r="T107" s="19">
        <v>0.33</v>
      </c>
      <c r="U107" s="19">
        <v>0.33</v>
      </c>
      <c r="V107" t="s">
        <v>48</v>
      </c>
      <c r="W107" t="s">
        <v>49</v>
      </c>
      <c r="X107" t="s">
        <v>50</v>
      </c>
      <c r="Y107" t="s">
        <v>51</v>
      </c>
      <c r="Z107" t="s">
        <v>87</v>
      </c>
      <c r="AA107" t="s">
        <v>53</v>
      </c>
      <c r="AB107" t="s">
        <v>1564</v>
      </c>
      <c r="AC107" t="s">
        <v>1565</v>
      </c>
      <c r="AD107" t="s">
        <v>56</v>
      </c>
      <c r="AE107" t="s">
        <v>80</v>
      </c>
      <c r="AF107" t="s">
        <v>81</v>
      </c>
      <c r="AG107" t="s">
        <v>59</v>
      </c>
      <c r="AH107" t="s">
        <v>60</v>
      </c>
    </row>
    <row r="108" spans="1:34" x14ac:dyDescent="0.3">
      <c r="A108" t="s">
        <v>768</v>
      </c>
      <c r="B108" t="s">
        <v>808</v>
      </c>
      <c r="C108">
        <v>2010</v>
      </c>
      <c r="D108">
        <v>2030</v>
      </c>
      <c r="E108" t="s">
        <v>39</v>
      </c>
      <c r="F108" t="s">
        <v>841</v>
      </c>
      <c r="G108" t="s">
        <v>1023</v>
      </c>
      <c r="H108" t="s">
        <v>1024</v>
      </c>
      <c r="I108" t="s">
        <v>43</v>
      </c>
      <c r="J108" t="s">
        <v>1025</v>
      </c>
      <c r="K108" t="s">
        <v>1026</v>
      </c>
      <c r="L108" t="s">
        <v>1027</v>
      </c>
      <c r="M108" t="s">
        <v>927</v>
      </c>
      <c r="N108">
        <v>0.8</v>
      </c>
      <c r="O108">
        <v>0.8</v>
      </c>
      <c r="P108">
        <v>0.8</v>
      </c>
      <c r="Q108" t="b">
        <v>0</v>
      </c>
      <c r="R108" s="19">
        <v>0.32</v>
      </c>
      <c r="S108" s="19">
        <v>0.32</v>
      </c>
      <c r="T108" s="19">
        <v>0.32</v>
      </c>
      <c r="U108" s="19">
        <v>0.32</v>
      </c>
      <c r="V108" t="s">
        <v>78</v>
      </c>
      <c r="W108" t="s">
        <v>528</v>
      </c>
      <c r="X108" t="s">
        <v>50</v>
      </c>
      <c r="Y108" t="s">
        <v>79</v>
      </c>
      <c r="Z108" t="s">
        <v>87</v>
      </c>
      <c r="AA108" t="s">
        <v>53</v>
      </c>
      <c r="AB108" t="s">
        <v>1564</v>
      </c>
      <c r="AC108" t="s">
        <v>1565</v>
      </c>
      <c r="AD108" t="s">
        <v>56</v>
      </c>
      <c r="AE108" t="s">
        <v>627</v>
      </c>
      <c r="AF108" t="s">
        <v>643</v>
      </c>
      <c r="AG108" t="s">
        <v>589</v>
      </c>
      <c r="AH108" t="s">
        <v>60</v>
      </c>
    </row>
    <row r="109" spans="1:34" x14ac:dyDescent="0.3">
      <c r="A109" t="s">
        <v>769</v>
      </c>
      <c r="B109" t="s">
        <v>809</v>
      </c>
      <c r="C109">
        <v>1000</v>
      </c>
      <c r="D109">
        <v>1978</v>
      </c>
      <c r="E109" t="s">
        <v>39</v>
      </c>
      <c r="F109" t="s">
        <v>40</v>
      </c>
      <c r="G109" t="s">
        <v>1028</v>
      </c>
      <c r="H109" t="s">
        <v>1029</v>
      </c>
      <c r="I109" t="s">
        <v>43</v>
      </c>
      <c r="J109" t="s">
        <v>1030</v>
      </c>
      <c r="K109" t="s">
        <v>1031</v>
      </c>
      <c r="L109" t="s">
        <v>1032</v>
      </c>
      <c r="M109" t="s">
        <v>927</v>
      </c>
      <c r="N109">
        <v>0.8</v>
      </c>
      <c r="O109">
        <v>0.8</v>
      </c>
      <c r="P109">
        <v>0.8</v>
      </c>
      <c r="Q109" t="b">
        <v>0</v>
      </c>
      <c r="R109" s="19">
        <v>0.26</v>
      </c>
      <c r="S109" s="19">
        <v>0.26</v>
      </c>
      <c r="T109" s="19">
        <v>0.26</v>
      </c>
      <c r="U109" s="19">
        <v>0.26</v>
      </c>
      <c r="V109" t="s">
        <v>48</v>
      </c>
      <c r="W109" t="s">
        <v>49</v>
      </c>
      <c r="X109" t="s">
        <v>50</v>
      </c>
      <c r="Y109" t="s">
        <v>51</v>
      </c>
      <c r="Z109" t="s">
        <v>87</v>
      </c>
      <c r="AA109" t="s">
        <v>53</v>
      </c>
      <c r="AB109" t="s">
        <v>1564</v>
      </c>
      <c r="AC109" t="s">
        <v>1565</v>
      </c>
      <c r="AD109" t="s">
        <v>56</v>
      </c>
      <c r="AE109" t="s">
        <v>80</v>
      </c>
      <c r="AF109" t="s">
        <v>81</v>
      </c>
      <c r="AG109" t="s">
        <v>59</v>
      </c>
      <c r="AH109" t="s">
        <v>60</v>
      </c>
    </row>
    <row r="110" spans="1:34" x14ac:dyDescent="0.3">
      <c r="A110" t="s">
        <v>770</v>
      </c>
      <c r="B110" t="s">
        <v>810</v>
      </c>
      <c r="C110">
        <v>1979</v>
      </c>
      <c r="D110">
        <v>2009</v>
      </c>
      <c r="E110" t="s">
        <v>39</v>
      </c>
      <c r="F110" t="s">
        <v>40</v>
      </c>
      <c r="G110" t="s">
        <v>1033</v>
      </c>
      <c r="H110" t="s">
        <v>1034</v>
      </c>
      <c r="I110" t="s">
        <v>43</v>
      </c>
      <c r="J110" t="s">
        <v>1035</v>
      </c>
      <c r="K110" t="s">
        <v>1036</v>
      </c>
      <c r="L110" t="s">
        <v>1037</v>
      </c>
      <c r="M110" t="s">
        <v>927</v>
      </c>
      <c r="N110">
        <v>0.8</v>
      </c>
      <c r="O110">
        <v>0.8</v>
      </c>
      <c r="P110">
        <v>0.8</v>
      </c>
      <c r="Q110" t="b">
        <v>0</v>
      </c>
      <c r="R110" s="19">
        <v>0.21</v>
      </c>
      <c r="S110" s="19">
        <v>0.21</v>
      </c>
      <c r="T110" s="19">
        <v>0.21</v>
      </c>
      <c r="U110" s="19">
        <v>0.21</v>
      </c>
      <c r="V110" t="s">
        <v>48</v>
      </c>
      <c r="W110" t="s">
        <v>49</v>
      </c>
      <c r="X110" t="s">
        <v>50</v>
      </c>
      <c r="Y110" t="s">
        <v>51</v>
      </c>
      <c r="Z110" t="s">
        <v>87</v>
      </c>
      <c r="AA110" t="s">
        <v>53</v>
      </c>
      <c r="AB110" t="s">
        <v>1564</v>
      </c>
      <c r="AC110" t="s">
        <v>1565</v>
      </c>
      <c r="AD110" t="s">
        <v>56</v>
      </c>
      <c r="AE110" t="s">
        <v>80</v>
      </c>
      <c r="AF110" t="s">
        <v>81</v>
      </c>
      <c r="AG110" t="s">
        <v>59</v>
      </c>
      <c r="AH110" t="s">
        <v>60</v>
      </c>
    </row>
    <row r="111" spans="1:34" x14ac:dyDescent="0.3">
      <c r="A111" t="s">
        <v>771</v>
      </c>
      <c r="B111" t="s">
        <v>811</v>
      </c>
      <c r="C111">
        <v>2010</v>
      </c>
      <c r="D111">
        <v>2030</v>
      </c>
      <c r="E111" t="s">
        <v>39</v>
      </c>
      <c r="F111" t="s">
        <v>841</v>
      </c>
      <c r="G111" t="s">
        <v>1038</v>
      </c>
      <c r="H111" t="s">
        <v>1039</v>
      </c>
      <c r="I111" t="s">
        <v>43</v>
      </c>
      <c r="J111" t="s">
        <v>1040</v>
      </c>
      <c r="K111" t="s">
        <v>1041</v>
      </c>
      <c r="L111" t="s">
        <v>1042</v>
      </c>
      <c r="M111" t="s">
        <v>927</v>
      </c>
      <c r="N111">
        <v>0.8</v>
      </c>
      <c r="O111">
        <v>0.8</v>
      </c>
      <c r="P111">
        <v>0.8</v>
      </c>
      <c r="Q111" t="b">
        <v>0</v>
      </c>
      <c r="R111" s="19">
        <v>0.19</v>
      </c>
      <c r="S111" s="19">
        <v>0.19</v>
      </c>
      <c r="T111" s="19">
        <v>0.19</v>
      </c>
      <c r="U111" s="19">
        <v>0.19</v>
      </c>
      <c r="V111" t="s">
        <v>78</v>
      </c>
      <c r="W111" t="s">
        <v>528</v>
      </c>
      <c r="X111" t="s">
        <v>50</v>
      </c>
      <c r="Y111" t="s">
        <v>79</v>
      </c>
      <c r="Z111" t="s">
        <v>87</v>
      </c>
      <c r="AA111" t="s">
        <v>53</v>
      </c>
      <c r="AB111" t="s">
        <v>1564</v>
      </c>
      <c r="AC111" t="s">
        <v>1565</v>
      </c>
      <c r="AD111" t="s">
        <v>56</v>
      </c>
      <c r="AE111" t="s">
        <v>627</v>
      </c>
      <c r="AF111" t="s">
        <v>643</v>
      </c>
      <c r="AG111" t="s">
        <v>589</v>
      </c>
      <c r="AH111" t="s">
        <v>60</v>
      </c>
    </row>
    <row r="112" spans="1:34" x14ac:dyDescent="0.3">
      <c r="A112" t="s">
        <v>772</v>
      </c>
      <c r="B112" t="s">
        <v>812</v>
      </c>
      <c r="C112">
        <v>1000</v>
      </c>
      <c r="D112">
        <v>1978</v>
      </c>
      <c r="E112" t="s">
        <v>39</v>
      </c>
      <c r="F112" t="s">
        <v>40</v>
      </c>
      <c r="G112" t="s">
        <v>1043</v>
      </c>
      <c r="H112" t="s">
        <v>1044</v>
      </c>
      <c r="I112" t="s">
        <v>43</v>
      </c>
      <c r="J112" t="s">
        <v>1045</v>
      </c>
      <c r="K112" t="s">
        <v>1046</v>
      </c>
      <c r="L112" t="s">
        <v>1047</v>
      </c>
      <c r="M112" t="s">
        <v>927</v>
      </c>
      <c r="N112">
        <v>0.8</v>
      </c>
      <c r="O112">
        <v>0.8</v>
      </c>
      <c r="P112">
        <v>0.8</v>
      </c>
      <c r="Q112" t="b">
        <v>0</v>
      </c>
      <c r="R112" s="19">
        <v>0.24</v>
      </c>
      <c r="S112" s="19">
        <v>0.24</v>
      </c>
      <c r="T112" s="19">
        <v>0.24</v>
      </c>
      <c r="U112" s="19">
        <v>0.24</v>
      </c>
      <c r="V112" t="s">
        <v>48</v>
      </c>
      <c r="W112" t="s">
        <v>49</v>
      </c>
      <c r="X112" t="s">
        <v>50</v>
      </c>
      <c r="Y112" t="s">
        <v>51</v>
      </c>
      <c r="Z112" t="s">
        <v>87</v>
      </c>
      <c r="AA112" t="s">
        <v>53</v>
      </c>
      <c r="AB112" t="s">
        <v>1564</v>
      </c>
      <c r="AC112" t="s">
        <v>1565</v>
      </c>
      <c r="AD112" t="s">
        <v>56</v>
      </c>
      <c r="AE112" t="s">
        <v>80</v>
      </c>
      <c r="AF112" t="s">
        <v>81</v>
      </c>
      <c r="AG112" t="s">
        <v>59</v>
      </c>
      <c r="AH112" t="s">
        <v>60</v>
      </c>
    </row>
    <row r="113" spans="1:34" x14ac:dyDescent="0.3">
      <c r="A113" t="s">
        <v>773</v>
      </c>
      <c r="B113" t="s">
        <v>813</v>
      </c>
      <c r="C113">
        <v>1979</v>
      </c>
      <c r="D113">
        <v>2009</v>
      </c>
      <c r="E113" t="s">
        <v>39</v>
      </c>
      <c r="F113" t="s">
        <v>40</v>
      </c>
      <c r="G113" t="s">
        <v>1048</v>
      </c>
      <c r="H113" t="s">
        <v>1049</v>
      </c>
      <c r="I113" t="s">
        <v>43</v>
      </c>
      <c r="J113" t="s">
        <v>1050</v>
      </c>
      <c r="K113" t="s">
        <v>1051</v>
      </c>
      <c r="L113" t="s">
        <v>1052</v>
      </c>
      <c r="M113" t="s">
        <v>927</v>
      </c>
      <c r="N113">
        <v>0.8</v>
      </c>
      <c r="O113">
        <v>0.8</v>
      </c>
      <c r="P113">
        <v>0.8</v>
      </c>
      <c r="Q113" t="b">
        <v>0</v>
      </c>
      <c r="R113" s="19">
        <v>0.23</v>
      </c>
      <c r="S113" s="19">
        <v>0.23</v>
      </c>
      <c r="T113" s="19">
        <v>0.23</v>
      </c>
      <c r="U113" s="19">
        <v>0.23</v>
      </c>
      <c r="V113" t="s">
        <v>48</v>
      </c>
      <c r="W113" t="s">
        <v>49</v>
      </c>
      <c r="X113" t="s">
        <v>50</v>
      </c>
      <c r="Y113" t="s">
        <v>51</v>
      </c>
      <c r="Z113" t="s">
        <v>87</v>
      </c>
      <c r="AA113" t="s">
        <v>53</v>
      </c>
      <c r="AB113" t="s">
        <v>1564</v>
      </c>
      <c r="AC113" t="s">
        <v>1565</v>
      </c>
      <c r="AD113" t="s">
        <v>56</v>
      </c>
      <c r="AE113" t="s">
        <v>80</v>
      </c>
      <c r="AF113" t="s">
        <v>81</v>
      </c>
      <c r="AG113" t="s">
        <v>59</v>
      </c>
      <c r="AH113" t="s">
        <v>60</v>
      </c>
    </row>
    <row r="114" spans="1:34" x14ac:dyDescent="0.3">
      <c r="A114" t="s">
        <v>774</v>
      </c>
      <c r="B114" t="s">
        <v>814</v>
      </c>
      <c r="C114">
        <v>2010</v>
      </c>
      <c r="D114">
        <v>2030</v>
      </c>
      <c r="E114" t="s">
        <v>39</v>
      </c>
      <c r="F114" t="s">
        <v>841</v>
      </c>
      <c r="G114" t="s">
        <v>1053</v>
      </c>
      <c r="H114" t="s">
        <v>1054</v>
      </c>
      <c r="I114" t="s">
        <v>43</v>
      </c>
      <c r="J114" t="s">
        <v>1055</v>
      </c>
      <c r="K114" t="s">
        <v>1056</v>
      </c>
      <c r="L114" t="s">
        <v>1057</v>
      </c>
      <c r="M114" t="s">
        <v>927</v>
      </c>
      <c r="N114">
        <v>0.8</v>
      </c>
      <c r="O114">
        <v>0.8</v>
      </c>
      <c r="P114">
        <v>0.8</v>
      </c>
      <c r="Q114" t="b">
        <v>0</v>
      </c>
      <c r="R114" s="19">
        <v>0.4</v>
      </c>
      <c r="S114" s="19">
        <v>0.4</v>
      </c>
      <c r="T114" s="19">
        <v>0.4</v>
      </c>
      <c r="U114" s="19">
        <v>0.4</v>
      </c>
      <c r="V114" t="s">
        <v>78</v>
      </c>
      <c r="W114" t="s">
        <v>528</v>
      </c>
      <c r="X114" t="s">
        <v>50</v>
      </c>
      <c r="Y114" t="s">
        <v>79</v>
      </c>
      <c r="Z114" t="s">
        <v>87</v>
      </c>
      <c r="AA114" t="s">
        <v>53</v>
      </c>
      <c r="AB114" t="s">
        <v>1564</v>
      </c>
      <c r="AC114" t="s">
        <v>1565</v>
      </c>
      <c r="AD114" t="s">
        <v>56</v>
      </c>
      <c r="AE114" t="s">
        <v>627</v>
      </c>
      <c r="AF114" t="s">
        <v>643</v>
      </c>
      <c r="AG114" t="s">
        <v>589</v>
      </c>
      <c r="AH114" t="s">
        <v>60</v>
      </c>
    </row>
    <row r="115" spans="1:34" x14ac:dyDescent="0.3">
      <c r="A115" t="s">
        <v>775</v>
      </c>
      <c r="B115" t="s">
        <v>815</v>
      </c>
      <c r="C115">
        <v>1000</v>
      </c>
      <c r="D115">
        <v>1978</v>
      </c>
      <c r="E115" t="s">
        <v>39</v>
      </c>
      <c r="F115" t="s">
        <v>40</v>
      </c>
      <c r="G115" t="s">
        <v>1058</v>
      </c>
      <c r="H115" t="s">
        <v>1059</v>
      </c>
      <c r="I115" t="s">
        <v>43</v>
      </c>
      <c r="J115" t="s">
        <v>1060</v>
      </c>
      <c r="K115" t="s">
        <v>1061</v>
      </c>
      <c r="L115" t="s">
        <v>1062</v>
      </c>
      <c r="M115" t="s">
        <v>927</v>
      </c>
      <c r="N115">
        <v>0.8</v>
      </c>
      <c r="O115">
        <v>0.8</v>
      </c>
      <c r="P115">
        <v>0.8</v>
      </c>
      <c r="Q115" t="b">
        <v>0</v>
      </c>
      <c r="R115" s="19">
        <v>0.23</v>
      </c>
      <c r="S115" s="19">
        <v>0.23</v>
      </c>
      <c r="T115" s="19">
        <v>0.23</v>
      </c>
      <c r="U115" s="19">
        <v>0.23</v>
      </c>
      <c r="V115" t="s">
        <v>48</v>
      </c>
      <c r="W115" t="s">
        <v>49</v>
      </c>
      <c r="X115" t="s">
        <v>50</v>
      </c>
      <c r="Y115" t="s">
        <v>51</v>
      </c>
      <c r="Z115" t="s">
        <v>87</v>
      </c>
      <c r="AA115" t="s">
        <v>53</v>
      </c>
      <c r="AB115" t="s">
        <v>1564</v>
      </c>
      <c r="AC115" t="s">
        <v>1565</v>
      </c>
      <c r="AD115" t="s">
        <v>56</v>
      </c>
      <c r="AE115" t="s">
        <v>80</v>
      </c>
      <c r="AF115" t="s">
        <v>81</v>
      </c>
      <c r="AG115" t="s">
        <v>59</v>
      </c>
      <c r="AH115" t="s">
        <v>60</v>
      </c>
    </row>
    <row r="116" spans="1:34" x14ac:dyDescent="0.3">
      <c r="A116" t="s">
        <v>776</v>
      </c>
      <c r="B116" t="s">
        <v>816</v>
      </c>
      <c r="C116">
        <v>1979</v>
      </c>
      <c r="D116">
        <v>2009</v>
      </c>
      <c r="E116" t="s">
        <v>39</v>
      </c>
      <c r="F116" t="s">
        <v>40</v>
      </c>
      <c r="G116" t="s">
        <v>1063</v>
      </c>
      <c r="H116" t="s">
        <v>1064</v>
      </c>
      <c r="I116" t="s">
        <v>43</v>
      </c>
      <c r="J116" t="s">
        <v>1065</v>
      </c>
      <c r="K116" t="s">
        <v>1066</v>
      </c>
      <c r="L116" t="s">
        <v>1067</v>
      </c>
      <c r="M116" t="s">
        <v>927</v>
      </c>
      <c r="N116">
        <v>0.8</v>
      </c>
      <c r="O116">
        <v>0.8</v>
      </c>
      <c r="P116">
        <v>0.8</v>
      </c>
      <c r="Q116" t="b">
        <v>0</v>
      </c>
      <c r="R116" s="19">
        <v>0.12</v>
      </c>
      <c r="S116" s="19">
        <v>0.12</v>
      </c>
      <c r="T116" s="19">
        <v>0.12</v>
      </c>
      <c r="U116" s="19">
        <v>0.12</v>
      </c>
      <c r="V116" t="s">
        <v>48</v>
      </c>
      <c r="W116" t="s">
        <v>49</v>
      </c>
      <c r="X116" t="s">
        <v>50</v>
      </c>
      <c r="Y116" t="s">
        <v>51</v>
      </c>
      <c r="Z116" t="s">
        <v>87</v>
      </c>
      <c r="AA116" t="s">
        <v>53</v>
      </c>
      <c r="AB116" t="s">
        <v>1564</v>
      </c>
      <c r="AC116" t="s">
        <v>1565</v>
      </c>
      <c r="AD116" t="s">
        <v>56</v>
      </c>
      <c r="AE116" t="s">
        <v>80</v>
      </c>
      <c r="AF116" t="s">
        <v>81</v>
      </c>
      <c r="AG116" t="s">
        <v>59</v>
      </c>
      <c r="AH116" t="s">
        <v>60</v>
      </c>
    </row>
    <row r="117" spans="1:34" x14ac:dyDescent="0.3">
      <c r="A117" t="s">
        <v>777</v>
      </c>
      <c r="B117" t="s">
        <v>817</v>
      </c>
      <c r="C117">
        <v>2010</v>
      </c>
      <c r="D117">
        <v>2030</v>
      </c>
      <c r="E117" t="s">
        <v>39</v>
      </c>
      <c r="F117" t="s">
        <v>841</v>
      </c>
      <c r="G117" t="s">
        <v>1068</v>
      </c>
      <c r="H117" t="s">
        <v>1069</v>
      </c>
      <c r="I117" t="s">
        <v>43</v>
      </c>
      <c r="J117" t="s">
        <v>1070</v>
      </c>
      <c r="K117" t="s">
        <v>1071</v>
      </c>
      <c r="L117" t="s">
        <v>1072</v>
      </c>
      <c r="M117" t="s">
        <v>927</v>
      </c>
      <c r="N117">
        <v>0.8</v>
      </c>
      <c r="O117">
        <v>0.8</v>
      </c>
      <c r="P117">
        <v>0.8</v>
      </c>
      <c r="Q117" t="b">
        <v>0</v>
      </c>
      <c r="R117" s="19">
        <v>0.1</v>
      </c>
      <c r="S117" s="19">
        <v>0.1</v>
      </c>
      <c r="T117" s="19">
        <v>0.1</v>
      </c>
      <c r="U117" s="19">
        <v>0.1</v>
      </c>
      <c r="V117" t="s">
        <v>78</v>
      </c>
      <c r="W117" t="s">
        <v>528</v>
      </c>
      <c r="X117" t="s">
        <v>50</v>
      </c>
      <c r="Y117" t="s">
        <v>79</v>
      </c>
      <c r="Z117" t="s">
        <v>87</v>
      </c>
      <c r="AA117" t="s">
        <v>53</v>
      </c>
      <c r="AB117" t="s">
        <v>1564</v>
      </c>
      <c r="AC117" t="s">
        <v>1565</v>
      </c>
      <c r="AD117" t="s">
        <v>56</v>
      </c>
      <c r="AE117" t="s">
        <v>627</v>
      </c>
      <c r="AF117" t="s">
        <v>643</v>
      </c>
      <c r="AG117" t="s">
        <v>589</v>
      </c>
      <c r="AH117" t="s">
        <v>60</v>
      </c>
    </row>
    <row r="118" spans="1:34" x14ac:dyDescent="0.3">
      <c r="A118" t="s">
        <v>778</v>
      </c>
      <c r="B118" t="s">
        <v>818</v>
      </c>
      <c r="C118">
        <v>1000</v>
      </c>
      <c r="D118">
        <v>1978</v>
      </c>
      <c r="E118" t="s">
        <v>39</v>
      </c>
      <c r="F118" t="s">
        <v>40</v>
      </c>
      <c r="G118" t="s">
        <v>1073</v>
      </c>
      <c r="H118" t="s">
        <v>1074</v>
      </c>
      <c r="I118" t="s">
        <v>43</v>
      </c>
      <c r="J118" t="s">
        <v>1075</v>
      </c>
      <c r="K118" t="s">
        <v>1076</v>
      </c>
      <c r="L118" t="s">
        <v>1077</v>
      </c>
      <c r="M118" t="s">
        <v>927</v>
      </c>
      <c r="N118">
        <v>0.8</v>
      </c>
      <c r="O118">
        <v>0.8</v>
      </c>
      <c r="P118">
        <v>0.8</v>
      </c>
      <c r="Q118" t="b">
        <v>0</v>
      </c>
      <c r="R118" s="19">
        <v>0.42</v>
      </c>
      <c r="S118" s="19">
        <v>0.42</v>
      </c>
      <c r="T118" s="19">
        <v>0.42</v>
      </c>
      <c r="U118" s="19">
        <v>0.42</v>
      </c>
      <c r="V118" t="s">
        <v>48</v>
      </c>
      <c r="W118" t="s">
        <v>49</v>
      </c>
      <c r="X118" t="s">
        <v>50</v>
      </c>
      <c r="Y118" t="s">
        <v>51</v>
      </c>
      <c r="Z118" t="s">
        <v>87</v>
      </c>
      <c r="AA118" t="s">
        <v>53</v>
      </c>
      <c r="AB118" t="s">
        <v>1564</v>
      </c>
      <c r="AC118" t="s">
        <v>1565</v>
      </c>
      <c r="AD118" t="s">
        <v>56</v>
      </c>
      <c r="AE118" t="s">
        <v>80</v>
      </c>
      <c r="AF118" t="s">
        <v>81</v>
      </c>
      <c r="AG118" t="s">
        <v>59</v>
      </c>
      <c r="AH118" t="s">
        <v>60</v>
      </c>
    </row>
    <row r="119" spans="1:34" x14ac:dyDescent="0.3">
      <c r="A119" t="s">
        <v>779</v>
      </c>
      <c r="B119" t="s">
        <v>819</v>
      </c>
      <c r="C119">
        <v>1979</v>
      </c>
      <c r="D119">
        <v>2009</v>
      </c>
      <c r="E119" t="s">
        <v>39</v>
      </c>
      <c r="F119" t="s">
        <v>40</v>
      </c>
      <c r="G119" t="s">
        <v>1078</v>
      </c>
      <c r="H119" t="s">
        <v>1079</v>
      </c>
      <c r="I119" t="s">
        <v>43</v>
      </c>
      <c r="J119" t="s">
        <v>1080</v>
      </c>
      <c r="K119" t="s">
        <v>1081</v>
      </c>
      <c r="L119" t="s">
        <v>1082</v>
      </c>
      <c r="M119" t="s">
        <v>927</v>
      </c>
      <c r="N119">
        <v>0.8</v>
      </c>
      <c r="O119">
        <v>0.8</v>
      </c>
      <c r="P119">
        <v>0.8</v>
      </c>
      <c r="Q119" t="b">
        <v>0</v>
      </c>
      <c r="R119" s="19">
        <v>0.06</v>
      </c>
      <c r="S119" s="19">
        <v>0.06</v>
      </c>
      <c r="T119" s="19">
        <v>0.06</v>
      </c>
      <c r="U119" s="19">
        <v>0.06</v>
      </c>
      <c r="V119" t="s">
        <v>48</v>
      </c>
      <c r="W119" t="s">
        <v>49</v>
      </c>
      <c r="X119" t="s">
        <v>50</v>
      </c>
      <c r="Y119" t="s">
        <v>51</v>
      </c>
      <c r="Z119" t="s">
        <v>87</v>
      </c>
      <c r="AA119" t="s">
        <v>53</v>
      </c>
      <c r="AB119" t="s">
        <v>1564</v>
      </c>
      <c r="AC119" t="s">
        <v>1565</v>
      </c>
      <c r="AD119" t="s">
        <v>56</v>
      </c>
      <c r="AE119" t="s">
        <v>80</v>
      </c>
      <c r="AF119" t="s">
        <v>81</v>
      </c>
      <c r="AG119" t="s">
        <v>59</v>
      </c>
      <c r="AH119" t="s">
        <v>60</v>
      </c>
    </row>
    <row r="120" spans="1:34" x14ac:dyDescent="0.3">
      <c r="A120" t="s">
        <v>780</v>
      </c>
      <c r="B120" t="s">
        <v>820</v>
      </c>
      <c r="C120">
        <v>2010</v>
      </c>
      <c r="D120">
        <v>2030</v>
      </c>
      <c r="E120" t="s">
        <v>39</v>
      </c>
      <c r="F120" t="s">
        <v>841</v>
      </c>
      <c r="G120" t="s">
        <v>1083</v>
      </c>
      <c r="H120" t="s">
        <v>1084</v>
      </c>
      <c r="I120" t="s">
        <v>43</v>
      </c>
      <c r="J120" t="s">
        <v>1085</v>
      </c>
      <c r="K120" t="s">
        <v>1086</v>
      </c>
      <c r="L120" t="s">
        <v>1087</v>
      </c>
      <c r="M120" t="s">
        <v>927</v>
      </c>
      <c r="N120">
        <v>0.8</v>
      </c>
      <c r="O120">
        <v>0.8</v>
      </c>
      <c r="P120">
        <v>0.8</v>
      </c>
      <c r="Q120" t="b">
        <v>0</v>
      </c>
      <c r="R120" s="19">
        <v>0.1</v>
      </c>
      <c r="S120" s="19">
        <v>0.1</v>
      </c>
      <c r="T120" s="19">
        <v>0.1</v>
      </c>
      <c r="U120" s="19">
        <v>0.1</v>
      </c>
      <c r="V120" t="s">
        <v>78</v>
      </c>
      <c r="W120" t="s">
        <v>528</v>
      </c>
      <c r="X120" t="s">
        <v>50</v>
      </c>
      <c r="Y120" t="s">
        <v>79</v>
      </c>
      <c r="Z120" t="s">
        <v>87</v>
      </c>
      <c r="AA120" t="s">
        <v>53</v>
      </c>
      <c r="AB120" t="s">
        <v>1564</v>
      </c>
      <c r="AC120" t="s">
        <v>1565</v>
      </c>
      <c r="AD120" t="s">
        <v>56</v>
      </c>
      <c r="AE120" t="s">
        <v>627</v>
      </c>
      <c r="AF120" t="s">
        <v>643</v>
      </c>
      <c r="AG120" t="s">
        <v>589</v>
      </c>
      <c r="AH120" t="s">
        <v>60</v>
      </c>
    </row>
    <row r="121" spans="1:34" x14ac:dyDescent="0.3">
      <c r="A121" t="s">
        <v>781</v>
      </c>
      <c r="B121" t="s">
        <v>821</v>
      </c>
      <c r="C121">
        <v>1000</v>
      </c>
      <c r="D121">
        <v>1978</v>
      </c>
      <c r="E121" t="s">
        <v>39</v>
      </c>
      <c r="F121" t="s">
        <v>40</v>
      </c>
      <c r="G121" t="s">
        <v>1088</v>
      </c>
      <c r="H121" t="s">
        <v>1089</v>
      </c>
      <c r="I121" t="s">
        <v>43</v>
      </c>
      <c r="J121" t="s">
        <v>1090</v>
      </c>
      <c r="K121" t="s">
        <v>1091</v>
      </c>
      <c r="L121" t="s">
        <v>1092</v>
      </c>
      <c r="M121" t="s">
        <v>927</v>
      </c>
      <c r="N121">
        <v>0.8</v>
      </c>
      <c r="O121">
        <v>0.8</v>
      </c>
      <c r="P121">
        <v>0.8</v>
      </c>
      <c r="Q121" t="b">
        <v>0</v>
      </c>
      <c r="R121" s="19">
        <v>0.34</v>
      </c>
      <c r="S121" s="19">
        <v>0.34</v>
      </c>
      <c r="T121" s="19">
        <v>0.34</v>
      </c>
      <c r="U121" s="19">
        <v>0.34</v>
      </c>
      <c r="V121" t="s">
        <v>48</v>
      </c>
      <c r="W121" t="s">
        <v>49</v>
      </c>
      <c r="X121" t="s">
        <v>50</v>
      </c>
      <c r="Y121" t="s">
        <v>51</v>
      </c>
      <c r="Z121" t="s">
        <v>87</v>
      </c>
      <c r="AA121" t="s">
        <v>53</v>
      </c>
      <c r="AB121" t="s">
        <v>1564</v>
      </c>
      <c r="AC121" t="s">
        <v>1565</v>
      </c>
      <c r="AD121" t="s">
        <v>56</v>
      </c>
      <c r="AE121" t="s">
        <v>80</v>
      </c>
      <c r="AF121" t="s">
        <v>81</v>
      </c>
      <c r="AG121" t="s">
        <v>59</v>
      </c>
      <c r="AH121" t="s">
        <v>60</v>
      </c>
    </row>
    <row r="122" spans="1:34" x14ac:dyDescent="0.3">
      <c r="A122" t="s">
        <v>782</v>
      </c>
      <c r="B122" t="s">
        <v>822</v>
      </c>
      <c r="C122">
        <v>1979</v>
      </c>
      <c r="D122">
        <v>2009</v>
      </c>
      <c r="E122" t="s">
        <v>39</v>
      </c>
      <c r="F122" t="s">
        <v>40</v>
      </c>
      <c r="G122" t="s">
        <v>1093</v>
      </c>
      <c r="H122" t="s">
        <v>1094</v>
      </c>
      <c r="I122" t="s">
        <v>43</v>
      </c>
      <c r="J122" t="s">
        <v>1095</v>
      </c>
      <c r="K122" t="s">
        <v>1096</v>
      </c>
      <c r="L122" t="s">
        <v>1097</v>
      </c>
      <c r="M122" t="s">
        <v>927</v>
      </c>
      <c r="N122">
        <v>0.8</v>
      </c>
      <c r="O122">
        <v>0.8</v>
      </c>
      <c r="P122">
        <v>0.8</v>
      </c>
      <c r="Q122" t="b">
        <v>0</v>
      </c>
      <c r="R122" s="19">
        <v>0.34</v>
      </c>
      <c r="S122" s="19">
        <v>0.34</v>
      </c>
      <c r="T122" s="19">
        <v>0.34</v>
      </c>
      <c r="U122" s="19">
        <v>0.34</v>
      </c>
      <c r="V122" t="s">
        <v>48</v>
      </c>
      <c r="W122" t="s">
        <v>49</v>
      </c>
      <c r="X122" t="s">
        <v>50</v>
      </c>
      <c r="Y122" t="s">
        <v>51</v>
      </c>
      <c r="Z122" t="s">
        <v>87</v>
      </c>
      <c r="AA122" t="s">
        <v>53</v>
      </c>
      <c r="AB122" t="s">
        <v>1564</v>
      </c>
      <c r="AC122" t="s">
        <v>1565</v>
      </c>
      <c r="AD122" t="s">
        <v>56</v>
      </c>
      <c r="AE122" t="s">
        <v>80</v>
      </c>
      <c r="AF122" t="s">
        <v>81</v>
      </c>
      <c r="AG122" t="s">
        <v>59</v>
      </c>
      <c r="AH122" t="s">
        <v>60</v>
      </c>
    </row>
    <row r="123" spans="1:34" x14ac:dyDescent="0.3">
      <c r="A123" t="s">
        <v>783</v>
      </c>
      <c r="B123" t="s">
        <v>823</v>
      </c>
      <c r="C123">
        <v>2010</v>
      </c>
      <c r="D123">
        <v>2030</v>
      </c>
      <c r="E123" t="s">
        <v>39</v>
      </c>
      <c r="F123" t="s">
        <v>841</v>
      </c>
      <c r="G123" t="s">
        <v>1098</v>
      </c>
      <c r="H123" t="s">
        <v>1099</v>
      </c>
      <c r="I123" t="s">
        <v>43</v>
      </c>
      <c r="J123" t="s">
        <v>1100</v>
      </c>
      <c r="K123" t="s">
        <v>1101</v>
      </c>
      <c r="L123" t="s">
        <v>1102</v>
      </c>
      <c r="M123" t="s">
        <v>927</v>
      </c>
      <c r="N123">
        <v>0.8</v>
      </c>
      <c r="O123">
        <v>0.8</v>
      </c>
      <c r="P123">
        <v>0.8</v>
      </c>
      <c r="Q123" t="b">
        <v>0</v>
      </c>
      <c r="R123" s="19">
        <v>0.38</v>
      </c>
      <c r="S123" s="19">
        <v>0.38</v>
      </c>
      <c r="T123" s="19">
        <v>0.38</v>
      </c>
      <c r="U123" s="19">
        <v>0.38</v>
      </c>
      <c r="V123" t="s">
        <v>78</v>
      </c>
      <c r="W123" t="s">
        <v>528</v>
      </c>
      <c r="X123" t="s">
        <v>50</v>
      </c>
      <c r="Y123" t="s">
        <v>79</v>
      </c>
      <c r="Z123" t="s">
        <v>87</v>
      </c>
      <c r="AA123" t="s">
        <v>53</v>
      </c>
      <c r="AB123" t="s">
        <v>1564</v>
      </c>
      <c r="AC123" t="s">
        <v>1565</v>
      </c>
      <c r="AD123" t="s">
        <v>56</v>
      </c>
      <c r="AE123" t="s">
        <v>627</v>
      </c>
      <c r="AF123" t="s">
        <v>643</v>
      </c>
      <c r="AG123" t="s">
        <v>589</v>
      </c>
      <c r="AH123" t="s">
        <v>60</v>
      </c>
    </row>
    <row r="124" spans="1:34" x14ac:dyDescent="0.3">
      <c r="A124" t="s">
        <v>784</v>
      </c>
      <c r="B124" t="s">
        <v>824</v>
      </c>
      <c r="C124">
        <v>1000</v>
      </c>
      <c r="D124">
        <v>1978</v>
      </c>
      <c r="E124" t="s">
        <v>39</v>
      </c>
      <c r="F124" t="s">
        <v>40</v>
      </c>
      <c r="G124" t="s">
        <v>1103</v>
      </c>
      <c r="H124" t="s">
        <v>1104</v>
      </c>
      <c r="I124" t="s">
        <v>43</v>
      </c>
      <c r="J124" t="s">
        <v>1105</v>
      </c>
      <c r="K124" t="s">
        <v>1106</v>
      </c>
      <c r="L124" t="s">
        <v>1107</v>
      </c>
      <c r="M124" t="s">
        <v>927</v>
      </c>
      <c r="N124">
        <v>0.8</v>
      </c>
      <c r="O124">
        <v>0.8</v>
      </c>
      <c r="P124">
        <v>0.8</v>
      </c>
      <c r="Q124" t="b">
        <v>0</v>
      </c>
      <c r="R124" s="19">
        <v>0.26</v>
      </c>
      <c r="S124" s="19">
        <v>0.26</v>
      </c>
      <c r="T124" s="19">
        <v>0.26</v>
      </c>
      <c r="U124" s="19">
        <v>0.26</v>
      </c>
      <c r="V124" t="s">
        <v>48</v>
      </c>
      <c r="W124" t="s">
        <v>49</v>
      </c>
      <c r="X124" t="s">
        <v>50</v>
      </c>
      <c r="Y124" t="s">
        <v>51</v>
      </c>
      <c r="Z124" t="s">
        <v>87</v>
      </c>
      <c r="AA124" t="s">
        <v>53</v>
      </c>
      <c r="AB124" t="s">
        <v>1564</v>
      </c>
      <c r="AC124" t="s">
        <v>1565</v>
      </c>
      <c r="AD124" t="s">
        <v>56</v>
      </c>
      <c r="AE124" t="s">
        <v>80</v>
      </c>
      <c r="AF124" t="s">
        <v>81</v>
      </c>
      <c r="AG124" t="s">
        <v>59</v>
      </c>
      <c r="AH124" t="s">
        <v>60</v>
      </c>
    </row>
    <row r="125" spans="1:34" x14ac:dyDescent="0.3">
      <c r="A125" t="s">
        <v>785</v>
      </c>
      <c r="B125" t="s">
        <v>825</v>
      </c>
      <c r="C125">
        <v>1979</v>
      </c>
      <c r="D125">
        <v>2009</v>
      </c>
      <c r="E125" t="s">
        <v>39</v>
      </c>
      <c r="F125" t="s">
        <v>40</v>
      </c>
      <c r="G125" t="s">
        <v>1108</v>
      </c>
      <c r="H125" t="s">
        <v>1109</v>
      </c>
      <c r="I125" t="s">
        <v>43</v>
      </c>
      <c r="J125" t="s">
        <v>1110</v>
      </c>
      <c r="K125" t="s">
        <v>1111</v>
      </c>
      <c r="L125" t="s">
        <v>1112</v>
      </c>
      <c r="M125" t="s">
        <v>927</v>
      </c>
      <c r="N125">
        <v>0.8</v>
      </c>
      <c r="O125">
        <v>0.8</v>
      </c>
      <c r="P125">
        <v>0.8</v>
      </c>
      <c r="Q125" t="b">
        <v>0</v>
      </c>
      <c r="R125" s="19">
        <v>0.2</v>
      </c>
      <c r="S125" s="19">
        <v>0.2</v>
      </c>
      <c r="T125" s="19">
        <v>0.2</v>
      </c>
      <c r="U125" s="19">
        <v>0.2</v>
      </c>
      <c r="V125" t="s">
        <v>48</v>
      </c>
      <c r="W125" t="s">
        <v>49</v>
      </c>
      <c r="X125" t="s">
        <v>50</v>
      </c>
      <c r="Y125" t="s">
        <v>51</v>
      </c>
      <c r="Z125" t="s">
        <v>87</v>
      </c>
      <c r="AA125" t="s">
        <v>53</v>
      </c>
      <c r="AB125" t="s">
        <v>1564</v>
      </c>
      <c r="AC125" t="s">
        <v>1565</v>
      </c>
      <c r="AD125" t="s">
        <v>56</v>
      </c>
      <c r="AE125" t="s">
        <v>80</v>
      </c>
      <c r="AF125" t="s">
        <v>81</v>
      </c>
      <c r="AG125" t="s">
        <v>59</v>
      </c>
      <c r="AH125" t="s">
        <v>60</v>
      </c>
    </row>
    <row r="126" spans="1:34" x14ac:dyDescent="0.3">
      <c r="A126" t="s">
        <v>786</v>
      </c>
      <c r="B126" t="s">
        <v>826</v>
      </c>
      <c r="C126">
        <v>2010</v>
      </c>
      <c r="D126">
        <v>2030</v>
      </c>
      <c r="E126" t="s">
        <v>39</v>
      </c>
      <c r="F126" t="s">
        <v>841</v>
      </c>
      <c r="G126" t="s">
        <v>1113</v>
      </c>
      <c r="H126" t="s">
        <v>1114</v>
      </c>
      <c r="I126" t="s">
        <v>43</v>
      </c>
      <c r="J126" t="s">
        <v>1115</v>
      </c>
      <c r="K126" t="s">
        <v>1116</v>
      </c>
      <c r="L126" t="s">
        <v>1117</v>
      </c>
      <c r="M126" t="s">
        <v>927</v>
      </c>
      <c r="N126">
        <v>0.8</v>
      </c>
      <c r="O126">
        <v>0.8</v>
      </c>
      <c r="P126">
        <v>0.8</v>
      </c>
      <c r="Q126" t="b">
        <v>0</v>
      </c>
      <c r="R126" s="19">
        <v>0.19</v>
      </c>
      <c r="S126" s="19">
        <v>0.19</v>
      </c>
      <c r="T126" s="19">
        <v>0.19</v>
      </c>
      <c r="U126" s="19">
        <v>0.19</v>
      </c>
      <c r="V126" t="s">
        <v>78</v>
      </c>
      <c r="W126" t="s">
        <v>528</v>
      </c>
      <c r="X126" t="s">
        <v>50</v>
      </c>
      <c r="Y126" t="s">
        <v>79</v>
      </c>
      <c r="Z126" t="s">
        <v>87</v>
      </c>
      <c r="AA126" t="s">
        <v>53</v>
      </c>
      <c r="AB126" t="s">
        <v>1564</v>
      </c>
      <c r="AC126" t="s">
        <v>1565</v>
      </c>
      <c r="AD126" t="s">
        <v>56</v>
      </c>
      <c r="AE126" t="s">
        <v>627</v>
      </c>
      <c r="AF126" t="s">
        <v>643</v>
      </c>
      <c r="AG126" t="s">
        <v>589</v>
      </c>
      <c r="AH126" t="s">
        <v>60</v>
      </c>
    </row>
  </sheetData>
  <phoneticPr fontId="5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8AAC-2753-4734-AE6A-5E24A4895FB0}">
  <sheetPr>
    <tabColor theme="5" tint="0.39997558519241921"/>
  </sheetPr>
  <dimension ref="A1:H172"/>
  <sheetViews>
    <sheetView workbookViewId="0"/>
  </sheetViews>
  <sheetFormatPr baseColWidth="10" defaultRowHeight="14.4" x14ac:dyDescent="0.3"/>
  <cols>
    <col min="1" max="1" width="35.77734375" customWidth="1"/>
    <col min="3" max="3" width="13.6640625" bestFit="1" customWidth="1"/>
    <col min="4" max="4" width="18.5546875" bestFit="1" customWidth="1"/>
    <col min="5" max="5" width="10.44140625" customWidth="1"/>
  </cols>
  <sheetData>
    <row r="1" spans="1:8" x14ac:dyDescent="0.3">
      <c r="A1" t="s">
        <v>4</v>
      </c>
      <c r="B1" t="s">
        <v>352</v>
      </c>
      <c r="C1" t="s">
        <v>353</v>
      </c>
      <c r="D1" t="s">
        <v>354</v>
      </c>
      <c r="E1" t="s">
        <v>355</v>
      </c>
      <c r="F1" t="s">
        <v>356</v>
      </c>
      <c r="G1" t="s">
        <v>357</v>
      </c>
      <c r="H1" t="s">
        <v>358</v>
      </c>
    </row>
    <row r="2" spans="1:8" x14ac:dyDescent="0.3">
      <c r="A2" t="s">
        <v>370</v>
      </c>
      <c r="B2" t="s">
        <v>45</v>
      </c>
      <c r="C2">
        <v>2.9</v>
      </c>
      <c r="D2">
        <v>113</v>
      </c>
      <c r="E2">
        <v>0</v>
      </c>
      <c r="F2">
        <v>30</v>
      </c>
      <c r="G2" t="s">
        <v>382</v>
      </c>
    </row>
    <row r="3" spans="1:8" x14ac:dyDescent="0.3">
      <c r="A3" t="s">
        <v>371</v>
      </c>
      <c r="B3" t="s">
        <v>359</v>
      </c>
      <c r="C3">
        <v>0.28000000000000003</v>
      </c>
      <c r="D3">
        <v>157</v>
      </c>
      <c r="E3">
        <v>0</v>
      </c>
      <c r="F3">
        <v>30</v>
      </c>
      <c r="G3" t="s">
        <v>382</v>
      </c>
    </row>
    <row r="4" spans="1:8" x14ac:dyDescent="0.3">
      <c r="A4" t="s">
        <v>372</v>
      </c>
      <c r="B4" t="s">
        <v>65</v>
      </c>
      <c r="C4">
        <v>0.25</v>
      </c>
      <c r="D4">
        <v>180</v>
      </c>
      <c r="E4">
        <v>0</v>
      </c>
      <c r="F4">
        <v>30</v>
      </c>
      <c r="G4" t="s">
        <v>382</v>
      </c>
    </row>
    <row r="5" spans="1:8" x14ac:dyDescent="0.3">
      <c r="A5" t="s">
        <v>373</v>
      </c>
      <c r="B5" t="s">
        <v>46</v>
      </c>
      <c r="C5">
        <v>2.9</v>
      </c>
      <c r="D5">
        <v>248</v>
      </c>
      <c r="E5">
        <v>0</v>
      </c>
      <c r="F5">
        <v>60</v>
      </c>
      <c r="G5" t="s">
        <v>382</v>
      </c>
    </row>
    <row r="6" spans="1:8" x14ac:dyDescent="0.3">
      <c r="A6" t="s">
        <v>374</v>
      </c>
      <c r="B6" t="s">
        <v>360</v>
      </c>
      <c r="C6">
        <v>0.28000000000000003</v>
      </c>
      <c r="D6">
        <v>292</v>
      </c>
      <c r="E6">
        <v>0</v>
      </c>
      <c r="F6">
        <v>60</v>
      </c>
      <c r="G6" t="s">
        <v>382</v>
      </c>
    </row>
    <row r="7" spans="1:8" x14ac:dyDescent="0.3">
      <c r="A7" t="s">
        <v>375</v>
      </c>
      <c r="B7" t="s">
        <v>66</v>
      </c>
      <c r="C7">
        <v>0.25</v>
      </c>
      <c r="D7">
        <v>315</v>
      </c>
      <c r="E7">
        <v>0</v>
      </c>
      <c r="F7">
        <v>60</v>
      </c>
      <c r="G7" t="s">
        <v>382</v>
      </c>
    </row>
    <row r="8" spans="1:8" x14ac:dyDescent="0.3">
      <c r="A8" t="s">
        <v>376</v>
      </c>
      <c r="B8" t="s">
        <v>361</v>
      </c>
      <c r="C8">
        <v>0.28000000000000003</v>
      </c>
      <c r="D8">
        <v>21</v>
      </c>
      <c r="E8">
        <v>0</v>
      </c>
      <c r="F8">
        <v>60</v>
      </c>
      <c r="G8" t="s">
        <v>382</v>
      </c>
      <c r="H8" t="s">
        <v>362</v>
      </c>
    </row>
    <row r="9" spans="1:8" x14ac:dyDescent="0.3">
      <c r="A9" t="s">
        <v>377</v>
      </c>
      <c r="B9" t="s">
        <v>363</v>
      </c>
      <c r="C9">
        <v>0.28000000000000003</v>
      </c>
      <c r="D9">
        <v>2</v>
      </c>
      <c r="E9">
        <v>-4</v>
      </c>
      <c r="F9">
        <v>60</v>
      </c>
      <c r="G9" t="s">
        <v>382</v>
      </c>
      <c r="H9" t="s">
        <v>362</v>
      </c>
    </row>
    <row r="10" spans="1:8" x14ac:dyDescent="0.3">
      <c r="A10" t="s">
        <v>378</v>
      </c>
      <c r="B10" t="s">
        <v>364</v>
      </c>
      <c r="C10">
        <v>0.25</v>
      </c>
      <c r="D10">
        <v>134</v>
      </c>
      <c r="E10">
        <v>-60</v>
      </c>
      <c r="F10">
        <v>60</v>
      </c>
      <c r="G10" t="s">
        <v>382</v>
      </c>
      <c r="H10" t="s">
        <v>362</v>
      </c>
    </row>
    <row r="11" spans="1:8" x14ac:dyDescent="0.3">
      <c r="A11" t="s">
        <v>379</v>
      </c>
      <c r="B11" t="s">
        <v>365</v>
      </c>
      <c r="C11">
        <v>0.25</v>
      </c>
      <c r="D11">
        <v>110</v>
      </c>
      <c r="E11">
        <v>-66</v>
      </c>
      <c r="F11">
        <v>60</v>
      </c>
      <c r="G11" t="s">
        <v>382</v>
      </c>
      <c r="H11" t="s">
        <v>362</v>
      </c>
    </row>
    <row r="12" spans="1:8" x14ac:dyDescent="0.3">
      <c r="A12" t="s">
        <v>380</v>
      </c>
      <c r="B12" t="s">
        <v>366</v>
      </c>
      <c r="C12">
        <v>0.17</v>
      </c>
      <c r="D12">
        <v>172</v>
      </c>
      <c r="E12">
        <v>-60</v>
      </c>
      <c r="F12">
        <v>30</v>
      </c>
      <c r="G12" t="s">
        <v>382</v>
      </c>
      <c r="H12" t="s">
        <v>362</v>
      </c>
    </row>
    <row r="13" spans="1:8" x14ac:dyDescent="0.3">
      <c r="A13" t="s">
        <v>381</v>
      </c>
      <c r="B13" t="s">
        <v>367</v>
      </c>
      <c r="C13">
        <v>0.17</v>
      </c>
      <c r="D13">
        <v>133</v>
      </c>
      <c r="E13">
        <v>-70</v>
      </c>
      <c r="F13">
        <v>30</v>
      </c>
      <c r="G13" t="s">
        <v>382</v>
      </c>
      <c r="H13" t="s">
        <v>362</v>
      </c>
    </row>
    <row r="14" spans="1:8" x14ac:dyDescent="0.3">
      <c r="A14" t="s">
        <v>368</v>
      </c>
      <c r="B14" t="s">
        <v>369</v>
      </c>
      <c r="C14">
        <v>2.9</v>
      </c>
      <c r="D14">
        <v>0</v>
      </c>
      <c r="E14">
        <v>0</v>
      </c>
      <c r="F14">
        <v>60</v>
      </c>
    </row>
    <row r="15" spans="1:8" x14ac:dyDescent="0.3">
      <c r="A15" t="s">
        <v>1198</v>
      </c>
      <c r="B15" t="s">
        <v>1477</v>
      </c>
      <c r="C15">
        <v>0.79200000000000004</v>
      </c>
      <c r="D15">
        <v>172</v>
      </c>
      <c r="E15">
        <v>-60</v>
      </c>
      <c r="F15">
        <v>30</v>
      </c>
    </row>
    <row r="16" spans="1:8" x14ac:dyDescent="0.3">
      <c r="A16" t="s">
        <v>1199</v>
      </c>
      <c r="B16" t="s">
        <v>1478</v>
      </c>
      <c r="C16">
        <v>0.79200000000000004</v>
      </c>
      <c r="D16">
        <v>172</v>
      </c>
      <c r="E16">
        <v>-60</v>
      </c>
      <c r="F16">
        <v>30</v>
      </c>
    </row>
    <row r="17" spans="1:6" x14ac:dyDescent="0.3">
      <c r="A17" t="s">
        <v>1200</v>
      </c>
      <c r="B17" t="s">
        <v>1479</v>
      </c>
      <c r="C17">
        <v>0.24200000000000002</v>
      </c>
      <c r="D17">
        <v>172</v>
      </c>
      <c r="E17">
        <v>-60</v>
      </c>
      <c r="F17">
        <v>30</v>
      </c>
    </row>
    <row r="18" spans="1:6" x14ac:dyDescent="0.3">
      <c r="A18" t="s">
        <v>1201</v>
      </c>
      <c r="B18" t="s">
        <v>1480</v>
      </c>
      <c r="C18">
        <v>1.54</v>
      </c>
      <c r="D18">
        <v>172</v>
      </c>
      <c r="E18">
        <v>-60</v>
      </c>
      <c r="F18">
        <v>30</v>
      </c>
    </row>
    <row r="19" spans="1:6" x14ac:dyDescent="0.3">
      <c r="A19" t="s">
        <v>1202</v>
      </c>
      <c r="B19" t="s">
        <v>1481</v>
      </c>
      <c r="C19">
        <v>0.44000000000000006</v>
      </c>
      <c r="D19">
        <v>172</v>
      </c>
      <c r="E19">
        <v>-60</v>
      </c>
      <c r="F19">
        <v>30</v>
      </c>
    </row>
    <row r="20" spans="1:6" x14ac:dyDescent="0.3">
      <c r="A20" t="s">
        <v>1203</v>
      </c>
      <c r="B20" t="s">
        <v>1482</v>
      </c>
      <c r="C20">
        <v>0.42900000000000005</v>
      </c>
      <c r="D20">
        <v>172</v>
      </c>
      <c r="E20">
        <v>-60</v>
      </c>
      <c r="F20">
        <v>30</v>
      </c>
    </row>
    <row r="21" spans="1:6" x14ac:dyDescent="0.3">
      <c r="A21" t="s">
        <v>1204</v>
      </c>
      <c r="B21" t="s">
        <v>1483</v>
      </c>
      <c r="C21">
        <v>1.54</v>
      </c>
      <c r="D21">
        <v>172</v>
      </c>
      <c r="E21">
        <v>-60</v>
      </c>
      <c r="F21">
        <v>30</v>
      </c>
    </row>
    <row r="22" spans="1:6" x14ac:dyDescent="0.3">
      <c r="A22" t="s">
        <v>1205</v>
      </c>
      <c r="B22" t="s">
        <v>1484</v>
      </c>
      <c r="C22">
        <v>0.22000000000000003</v>
      </c>
      <c r="D22">
        <v>172</v>
      </c>
      <c r="E22">
        <v>-60</v>
      </c>
      <c r="F22">
        <v>30</v>
      </c>
    </row>
    <row r="23" spans="1:6" x14ac:dyDescent="0.3">
      <c r="A23" t="s">
        <v>1206</v>
      </c>
      <c r="B23" t="s">
        <v>1485</v>
      </c>
      <c r="C23">
        <v>0.26400000000000001</v>
      </c>
      <c r="D23">
        <v>172</v>
      </c>
      <c r="E23">
        <v>-60</v>
      </c>
      <c r="F23">
        <v>30</v>
      </c>
    </row>
    <row r="24" spans="1:6" x14ac:dyDescent="0.3">
      <c r="A24" t="s">
        <v>1207</v>
      </c>
      <c r="B24" t="s">
        <v>1486</v>
      </c>
      <c r="C24">
        <v>1.4300000000000002</v>
      </c>
      <c r="D24">
        <v>172</v>
      </c>
      <c r="E24">
        <v>-60</v>
      </c>
      <c r="F24">
        <v>30</v>
      </c>
    </row>
    <row r="25" spans="1:6" x14ac:dyDescent="0.3">
      <c r="A25" t="s">
        <v>1208</v>
      </c>
      <c r="B25" t="s">
        <v>1487</v>
      </c>
      <c r="C25">
        <v>0.44000000000000006</v>
      </c>
      <c r="D25">
        <v>172</v>
      </c>
      <c r="E25">
        <v>-60</v>
      </c>
      <c r="F25">
        <v>30</v>
      </c>
    </row>
    <row r="26" spans="1:6" x14ac:dyDescent="0.3">
      <c r="A26" t="s">
        <v>1209</v>
      </c>
      <c r="B26" t="s">
        <v>1488</v>
      </c>
      <c r="C26">
        <v>0.33</v>
      </c>
      <c r="D26">
        <v>172</v>
      </c>
      <c r="E26">
        <v>-60</v>
      </c>
      <c r="F26">
        <v>30</v>
      </c>
    </row>
    <row r="27" spans="1:6" x14ac:dyDescent="0.3">
      <c r="A27" t="s">
        <v>1210</v>
      </c>
      <c r="B27" t="s">
        <v>1489</v>
      </c>
      <c r="C27">
        <v>0.96800000000000008</v>
      </c>
      <c r="D27">
        <v>172</v>
      </c>
      <c r="E27">
        <v>-60</v>
      </c>
      <c r="F27">
        <v>30</v>
      </c>
    </row>
    <row r="28" spans="1:6" x14ac:dyDescent="0.3">
      <c r="A28" t="s">
        <v>1211</v>
      </c>
      <c r="B28" t="s">
        <v>1490</v>
      </c>
      <c r="C28">
        <v>0.96800000000000008</v>
      </c>
      <c r="D28">
        <v>172</v>
      </c>
      <c r="E28">
        <v>-60</v>
      </c>
      <c r="F28">
        <v>30</v>
      </c>
    </row>
    <row r="29" spans="1:6" x14ac:dyDescent="0.3">
      <c r="A29" t="s">
        <v>1212</v>
      </c>
      <c r="B29" t="s">
        <v>1491</v>
      </c>
      <c r="C29">
        <v>0.44000000000000006</v>
      </c>
      <c r="D29">
        <v>172</v>
      </c>
      <c r="E29">
        <v>-60</v>
      </c>
      <c r="F29">
        <v>30</v>
      </c>
    </row>
    <row r="30" spans="1:6" x14ac:dyDescent="0.3">
      <c r="A30" t="s">
        <v>1213</v>
      </c>
      <c r="B30" t="s">
        <v>1492</v>
      </c>
      <c r="C30">
        <v>0.64900000000000002</v>
      </c>
      <c r="D30">
        <v>172</v>
      </c>
      <c r="E30">
        <v>-60</v>
      </c>
      <c r="F30">
        <v>30</v>
      </c>
    </row>
    <row r="31" spans="1:6" x14ac:dyDescent="0.3">
      <c r="A31" t="s">
        <v>1214</v>
      </c>
      <c r="B31" t="s">
        <v>1493</v>
      </c>
      <c r="C31">
        <v>0.64900000000000002</v>
      </c>
      <c r="D31">
        <v>172</v>
      </c>
      <c r="E31">
        <v>-60</v>
      </c>
      <c r="F31">
        <v>30</v>
      </c>
    </row>
    <row r="32" spans="1:6" x14ac:dyDescent="0.3">
      <c r="A32" t="s">
        <v>1215</v>
      </c>
      <c r="B32" t="s">
        <v>1494</v>
      </c>
      <c r="C32">
        <v>0.44000000000000006</v>
      </c>
      <c r="D32">
        <v>172</v>
      </c>
      <c r="E32">
        <v>-60</v>
      </c>
      <c r="F32">
        <v>30</v>
      </c>
    </row>
    <row r="33" spans="1:6" x14ac:dyDescent="0.3">
      <c r="A33" t="s">
        <v>1216</v>
      </c>
      <c r="B33" t="s">
        <v>1495</v>
      </c>
      <c r="C33">
        <v>0.23100000000000001</v>
      </c>
      <c r="D33">
        <v>172</v>
      </c>
      <c r="E33">
        <v>-60</v>
      </c>
      <c r="F33">
        <v>30</v>
      </c>
    </row>
    <row r="34" spans="1:6" x14ac:dyDescent="0.3">
      <c r="A34" t="s">
        <v>1217</v>
      </c>
      <c r="B34" t="s">
        <v>1496</v>
      </c>
      <c r="C34">
        <v>0.11000000000000001</v>
      </c>
      <c r="D34">
        <v>172</v>
      </c>
      <c r="E34">
        <v>-60</v>
      </c>
      <c r="F34">
        <v>30</v>
      </c>
    </row>
    <row r="35" spans="1:6" x14ac:dyDescent="0.3">
      <c r="A35" t="s">
        <v>1218</v>
      </c>
      <c r="B35" t="s">
        <v>1497</v>
      </c>
      <c r="C35">
        <v>0.9900000000000001</v>
      </c>
      <c r="D35">
        <v>172</v>
      </c>
      <c r="E35">
        <v>-60</v>
      </c>
      <c r="F35">
        <v>30</v>
      </c>
    </row>
    <row r="36" spans="1:6" x14ac:dyDescent="0.3">
      <c r="A36" t="s">
        <v>1219</v>
      </c>
      <c r="B36" t="s">
        <v>1498</v>
      </c>
      <c r="C36">
        <v>0.38500000000000001</v>
      </c>
      <c r="D36">
        <v>172</v>
      </c>
      <c r="E36">
        <v>-60</v>
      </c>
      <c r="F36">
        <v>30</v>
      </c>
    </row>
    <row r="37" spans="1:6" x14ac:dyDescent="0.3">
      <c r="A37" t="s">
        <v>1220</v>
      </c>
      <c r="B37" t="s">
        <v>1499</v>
      </c>
      <c r="C37">
        <v>0.27500000000000002</v>
      </c>
      <c r="D37">
        <v>172</v>
      </c>
      <c r="E37">
        <v>-60</v>
      </c>
      <c r="F37">
        <v>30</v>
      </c>
    </row>
    <row r="38" spans="1:6" x14ac:dyDescent="0.3">
      <c r="A38" t="s">
        <v>1221</v>
      </c>
      <c r="B38" t="s">
        <v>1500</v>
      </c>
      <c r="C38">
        <v>0.9900000000000001</v>
      </c>
      <c r="D38">
        <v>172</v>
      </c>
      <c r="E38">
        <v>-60</v>
      </c>
      <c r="F38">
        <v>30</v>
      </c>
    </row>
    <row r="39" spans="1:6" x14ac:dyDescent="0.3">
      <c r="A39" t="s">
        <v>1222</v>
      </c>
      <c r="B39" t="s">
        <v>1501</v>
      </c>
      <c r="C39">
        <v>0.44000000000000006</v>
      </c>
      <c r="D39">
        <v>172</v>
      </c>
      <c r="E39">
        <v>-60</v>
      </c>
      <c r="F39">
        <v>30</v>
      </c>
    </row>
    <row r="40" spans="1:6" x14ac:dyDescent="0.3">
      <c r="A40" t="s">
        <v>1223</v>
      </c>
      <c r="B40" t="s">
        <v>1502</v>
      </c>
      <c r="C40">
        <v>0.27500000000000002</v>
      </c>
      <c r="D40">
        <v>172</v>
      </c>
      <c r="E40">
        <v>-60</v>
      </c>
      <c r="F40">
        <v>30</v>
      </c>
    </row>
    <row r="41" spans="1:6" x14ac:dyDescent="0.3">
      <c r="A41" t="s">
        <v>1224</v>
      </c>
      <c r="B41" t="s">
        <v>1503</v>
      </c>
      <c r="C41">
        <v>2.145</v>
      </c>
      <c r="D41">
        <v>172</v>
      </c>
      <c r="E41">
        <v>-60</v>
      </c>
      <c r="F41">
        <v>30</v>
      </c>
    </row>
    <row r="42" spans="1:6" x14ac:dyDescent="0.3">
      <c r="A42" t="s">
        <v>1225</v>
      </c>
      <c r="B42" t="s">
        <v>1504</v>
      </c>
      <c r="C42">
        <v>0.44000000000000006</v>
      </c>
      <c r="D42">
        <v>172</v>
      </c>
      <c r="E42">
        <v>-60</v>
      </c>
      <c r="F42">
        <v>30</v>
      </c>
    </row>
    <row r="43" spans="1:6" x14ac:dyDescent="0.3">
      <c r="A43" t="s">
        <v>1226</v>
      </c>
      <c r="B43" t="s">
        <v>1505</v>
      </c>
      <c r="C43">
        <v>0.38500000000000001</v>
      </c>
      <c r="D43">
        <v>172</v>
      </c>
      <c r="E43">
        <v>-60</v>
      </c>
      <c r="F43">
        <v>30</v>
      </c>
    </row>
    <row r="44" spans="1:6" x14ac:dyDescent="0.3">
      <c r="A44" t="s">
        <v>1227</v>
      </c>
      <c r="B44" t="s">
        <v>1506</v>
      </c>
      <c r="C44">
        <v>1.6500000000000001</v>
      </c>
      <c r="D44">
        <v>172</v>
      </c>
      <c r="E44">
        <v>-60</v>
      </c>
      <c r="F44">
        <v>30</v>
      </c>
    </row>
    <row r="45" spans="1:6" x14ac:dyDescent="0.3">
      <c r="A45" t="s">
        <v>1228</v>
      </c>
      <c r="B45" t="s">
        <v>1507</v>
      </c>
      <c r="C45">
        <v>0.44000000000000006</v>
      </c>
      <c r="D45">
        <v>172</v>
      </c>
      <c r="E45">
        <v>-60</v>
      </c>
      <c r="F45">
        <v>30</v>
      </c>
    </row>
    <row r="46" spans="1:6" x14ac:dyDescent="0.3">
      <c r="A46" t="s">
        <v>1229</v>
      </c>
      <c r="B46" t="s">
        <v>1508</v>
      </c>
      <c r="C46">
        <v>0.44000000000000006</v>
      </c>
      <c r="D46">
        <v>172</v>
      </c>
      <c r="E46">
        <v>-60</v>
      </c>
      <c r="F46">
        <v>30</v>
      </c>
    </row>
    <row r="47" spans="1:6" x14ac:dyDescent="0.3">
      <c r="A47" t="s">
        <v>1230</v>
      </c>
      <c r="B47" t="s">
        <v>1509</v>
      </c>
      <c r="C47">
        <v>0.68200000000000005</v>
      </c>
      <c r="D47">
        <v>172</v>
      </c>
      <c r="E47">
        <v>-60</v>
      </c>
      <c r="F47">
        <v>30</v>
      </c>
    </row>
    <row r="48" spans="1:6" x14ac:dyDescent="0.3">
      <c r="A48" t="s">
        <v>1231</v>
      </c>
      <c r="B48" t="s">
        <v>1510</v>
      </c>
      <c r="C48">
        <v>0.44000000000000006</v>
      </c>
      <c r="D48">
        <v>172</v>
      </c>
      <c r="E48">
        <v>-60</v>
      </c>
      <c r="F48">
        <v>30</v>
      </c>
    </row>
    <row r="49" spans="1:6" x14ac:dyDescent="0.3">
      <c r="A49" t="s">
        <v>1232</v>
      </c>
      <c r="B49" t="s">
        <v>1511</v>
      </c>
      <c r="C49">
        <v>0.40700000000000003</v>
      </c>
      <c r="D49">
        <v>172</v>
      </c>
      <c r="E49">
        <v>-60</v>
      </c>
      <c r="F49">
        <v>30</v>
      </c>
    </row>
    <row r="50" spans="1:6" x14ac:dyDescent="0.3">
      <c r="A50" t="s">
        <v>1233</v>
      </c>
      <c r="B50" t="s">
        <v>1512</v>
      </c>
      <c r="C50">
        <v>0.44000000000000006</v>
      </c>
      <c r="D50">
        <v>172</v>
      </c>
      <c r="E50">
        <v>-60</v>
      </c>
      <c r="F50">
        <v>30</v>
      </c>
    </row>
    <row r="51" spans="1:6" x14ac:dyDescent="0.3">
      <c r="A51" t="s">
        <v>1234</v>
      </c>
      <c r="B51" t="s">
        <v>1513</v>
      </c>
      <c r="C51">
        <v>0.44000000000000006</v>
      </c>
      <c r="D51">
        <v>172</v>
      </c>
      <c r="E51">
        <v>-60</v>
      </c>
      <c r="F51">
        <v>30</v>
      </c>
    </row>
    <row r="52" spans="1:6" x14ac:dyDescent="0.3">
      <c r="A52" t="s">
        <v>1235</v>
      </c>
      <c r="B52" t="s">
        <v>1514</v>
      </c>
      <c r="C52">
        <v>0.33</v>
      </c>
      <c r="D52">
        <v>172</v>
      </c>
      <c r="E52">
        <v>-60</v>
      </c>
      <c r="F52">
        <v>30</v>
      </c>
    </row>
    <row r="53" spans="1:6" x14ac:dyDescent="0.3">
      <c r="A53" t="s">
        <v>1236</v>
      </c>
      <c r="B53" t="s">
        <v>1515</v>
      </c>
      <c r="C53">
        <v>0.35200000000000004</v>
      </c>
      <c r="D53">
        <v>172</v>
      </c>
      <c r="E53">
        <v>-60</v>
      </c>
      <c r="F53">
        <v>30</v>
      </c>
    </row>
    <row r="54" spans="1:6" x14ac:dyDescent="0.3">
      <c r="A54" t="s">
        <v>1237</v>
      </c>
      <c r="B54" t="s">
        <v>1516</v>
      </c>
      <c r="C54">
        <v>0.11000000000000001</v>
      </c>
      <c r="D54">
        <v>172</v>
      </c>
      <c r="E54">
        <v>-60</v>
      </c>
      <c r="F54">
        <v>30</v>
      </c>
    </row>
    <row r="55" spans="1:6" x14ac:dyDescent="0.3">
      <c r="A55" t="s">
        <v>1238</v>
      </c>
      <c r="B55" t="s">
        <v>1517</v>
      </c>
      <c r="C55">
        <v>2.3100000000000005</v>
      </c>
      <c r="D55">
        <v>172</v>
      </c>
      <c r="E55">
        <v>-60</v>
      </c>
      <c r="F55">
        <v>30</v>
      </c>
    </row>
    <row r="56" spans="1:6" x14ac:dyDescent="0.3">
      <c r="A56" t="s">
        <v>1239</v>
      </c>
      <c r="B56" t="s">
        <v>1518</v>
      </c>
      <c r="C56">
        <v>0.38500000000000001</v>
      </c>
      <c r="D56">
        <v>172</v>
      </c>
      <c r="E56">
        <v>-60</v>
      </c>
      <c r="F56">
        <v>30</v>
      </c>
    </row>
    <row r="57" spans="1:6" x14ac:dyDescent="0.3">
      <c r="A57" t="s">
        <v>1240</v>
      </c>
      <c r="B57" t="s">
        <v>1519</v>
      </c>
      <c r="C57">
        <v>0.38500000000000001</v>
      </c>
      <c r="D57">
        <v>172</v>
      </c>
      <c r="E57">
        <v>-60</v>
      </c>
      <c r="F57">
        <v>30</v>
      </c>
    </row>
    <row r="58" spans="1:6" x14ac:dyDescent="0.3">
      <c r="A58" t="s">
        <v>1241</v>
      </c>
      <c r="B58" t="s">
        <v>1520</v>
      </c>
      <c r="C58">
        <v>1.1550000000000002</v>
      </c>
      <c r="D58">
        <v>172</v>
      </c>
      <c r="E58">
        <v>-60</v>
      </c>
      <c r="F58">
        <v>30</v>
      </c>
    </row>
    <row r="59" spans="1:6" x14ac:dyDescent="0.3">
      <c r="A59" t="s">
        <v>1242</v>
      </c>
      <c r="B59" t="s">
        <v>1521</v>
      </c>
      <c r="C59">
        <v>0.38500000000000001</v>
      </c>
      <c r="D59">
        <v>172</v>
      </c>
      <c r="E59">
        <v>-60</v>
      </c>
      <c r="F59">
        <v>30</v>
      </c>
    </row>
    <row r="60" spans="1:6" x14ac:dyDescent="0.3">
      <c r="A60" t="s">
        <v>1243</v>
      </c>
      <c r="B60" t="s">
        <v>1522</v>
      </c>
      <c r="C60">
        <v>0.27500000000000002</v>
      </c>
      <c r="D60">
        <v>172</v>
      </c>
      <c r="E60">
        <v>-60</v>
      </c>
      <c r="F60">
        <v>30</v>
      </c>
    </row>
    <row r="61" spans="1:6" x14ac:dyDescent="0.3">
      <c r="A61" t="s">
        <v>1244</v>
      </c>
      <c r="B61" t="s">
        <v>1523</v>
      </c>
      <c r="C61">
        <v>1.1550000000000002</v>
      </c>
      <c r="D61">
        <v>172</v>
      </c>
      <c r="E61">
        <v>-60</v>
      </c>
      <c r="F61">
        <v>30</v>
      </c>
    </row>
    <row r="62" spans="1:6" x14ac:dyDescent="0.3">
      <c r="A62" t="s">
        <v>1245</v>
      </c>
      <c r="B62" t="s">
        <v>1524</v>
      </c>
      <c r="C62">
        <v>0.44000000000000006</v>
      </c>
      <c r="D62">
        <v>172</v>
      </c>
      <c r="E62">
        <v>-60</v>
      </c>
      <c r="F62">
        <v>30</v>
      </c>
    </row>
    <row r="63" spans="1:6" x14ac:dyDescent="0.3">
      <c r="A63" t="s">
        <v>1246</v>
      </c>
      <c r="B63" t="s">
        <v>1525</v>
      </c>
      <c r="C63">
        <v>0.33</v>
      </c>
      <c r="D63">
        <v>172</v>
      </c>
      <c r="E63">
        <v>-60</v>
      </c>
      <c r="F63">
        <v>30</v>
      </c>
    </row>
    <row r="64" spans="1:6" x14ac:dyDescent="0.3">
      <c r="A64" t="s">
        <v>1247</v>
      </c>
      <c r="B64" t="s">
        <v>1526</v>
      </c>
      <c r="C64">
        <v>1.353</v>
      </c>
      <c r="D64">
        <v>172</v>
      </c>
      <c r="E64">
        <v>-60</v>
      </c>
      <c r="F64">
        <v>30</v>
      </c>
    </row>
    <row r="65" spans="1:6" x14ac:dyDescent="0.3">
      <c r="A65" t="s">
        <v>1248</v>
      </c>
      <c r="B65" t="s">
        <v>1527</v>
      </c>
      <c r="C65">
        <v>0.44000000000000006</v>
      </c>
      <c r="D65">
        <v>172</v>
      </c>
      <c r="E65">
        <v>-60</v>
      </c>
      <c r="F65">
        <v>30</v>
      </c>
    </row>
    <row r="66" spans="1:6" x14ac:dyDescent="0.3">
      <c r="A66" t="s">
        <v>1249</v>
      </c>
      <c r="B66" t="s">
        <v>1528</v>
      </c>
      <c r="C66">
        <v>0.44000000000000006</v>
      </c>
      <c r="D66">
        <v>172</v>
      </c>
      <c r="E66">
        <v>-60</v>
      </c>
      <c r="F66">
        <v>30</v>
      </c>
    </row>
    <row r="67" spans="1:6" x14ac:dyDescent="0.3">
      <c r="A67" t="s">
        <v>1250</v>
      </c>
      <c r="B67" t="s">
        <v>1529</v>
      </c>
      <c r="C67">
        <v>0.69300000000000006</v>
      </c>
      <c r="D67">
        <v>172</v>
      </c>
      <c r="E67">
        <v>-60</v>
      </c>
      <c r="F67">
        <v>30</v>
      </c>
    </row>
    <row r="68" spans="1:6" x14ac:dyDescent="0.3">
      <c r="A68" t="s">
        <v>1251</v>
      </c>
      <c r="B68" t="s">
        <v>1530</v>
      </c>
      <c r="C68">
        <v>0.44000000000000006</v>
      </c>
      <c r="D68">
        <v>172</v>
      </c>
      <c r="E68">
        <v>-60</v>
      </c>
      <c r="F68">
        <v>30</v>
      </c>
    </row>
    <row r="69" spans="1:6" x14ac:dyDescent="0.3">
      <c r="A69" t="s">
        <v>1252</v>
      </c>
      <c r="B69" t="s">
        <v>1531</v>
      </c>
      <c r="C69">
        <v>0.44000000000000006</v>
      </c>
      <c r="D69">
        <v>172</v>
      </c>
      <c r="E69">
        <v>-60</v>
      </c>
      <c r="F69">
        <v>30</v>
      </c>
    </row>
    <row r="70" spans="1:6" x14ac:dyDescent="0.3">
      <c r="A70" t="s">
        <v>1253</v>
      </c>
      <c r="B70" t="s">
        <v>1532</v>
      </c>
      <c r="C70">
        <v>0.48400000000000004</v>
      </c>
      <c r="D70">
        <v>172</v>
      </c>
      <c r="E70">
        <v>-60</v>
      </c>
      <c r="F70">
        <v>30</v>
      </c>
    </row>
    <row r="71" spans="1:6" x14ac:dyDescent="0.3">
      <c r="A71" t="s">
        <v>1254</v>
      </c>
      <c r="B71" t="s">
        <v>1533</v>
      </c>
      <c r="C71">
        <v>0.48400000000000004</v>
      </c>
      <c r="D71">
        <v>172</v>
      </c>
      <c r="E71">
        <v>-60</v>
      </c>
      <c r="F71">
        <v>30</v>
      </c>
    </row>
    <row r="72" spans="1:6" x14ac:dyDescent="0.3">
      <c r="A72" t="s">
        <v>1255</v>
      </c>
      <c r="B72" t="s">
        <v>1534</v>
      </c>
      <c r="C72">
        <v>0.27500000000000002</v>
      </c>
      <c r="D72">
        <v>172</v>
      </c>
      <c r="E72">
        <v>-60</v>
      </c>
      <c r="F72">
        <v>30</v>
      </c>
    </row>
    <row r="73" spans="1:6" x14ac:dyDescent="0.3">
      <c r="A73" t="s">
        <v>1256</v>
      </c>
      <c r="B73" t="s">
        <v>1535</v>
      </c>
      <c r="C73">
        <v>0.23100000000000001</v>
      </c>
      <c r="D73">
        <v>172</v>
      </c>
      <c r="E73">
        <v>-60</v>
      </c>
      <c r="F73">
        <v>30</v>
      </c>
    </row>
    <row r="74" spans="1:6" x14ac:dyDescent="0.3">
      <c r="A74" t="s">
        <v>1257</v>
      </c>
      <c r="B74" t="s">
        <v>1536</v>
      </c>
      <c r="C74">
        <v>0.11000000000000001</v>
      </c>
      <c r="D74">
        <v>172</v>
      </c>
      <c r="E74">
        <v>-60</v>
      </c>
      <c r="F74">
        <v>30</v>
      </c>
    </row>
    <row r="75" spans="1:6" x14ac:dyDescent="0.3">
      <c r="A75" t="s">
        <v>1258</v>
      </c>
      <c r="B75" t="s">
        <v>1537</v>
      </c>
      <c r="C75">
        <v>1.0449999999999999</v>
      </c>
      <c r="D75">
        <v>172</v>
      </c>
      <c r="E75">
        <v>-60</v>
      </c>
      <c r="F75">
        <v>30</v>
      </c>
    </row>
    <row r="76" spans="1:6" x14ac:dyDescent="0.3">
      <c r="A76" t="s">
        <v>1259</v>
      </c>
      <c r="B76" t="s">
        <v>1538</v>
      </c>
      <c r="C76">
        <v>0.38500000000000001</v>
      </c>
      <c r="D76">
        <v>172</v>
      </c>
      <c r="E76">
        <v>-60</v>
      </c>
      <c r="F76">
        <v>30</v>
      </c>
    </row>
    <row r="77" spans="1:6" x14ac:dyDescent="0.3">
      <c r="A77" t="s">
        <v>1260</v>
      </c>
      <c r="B77" t="s">
        <v>1539</v>
      </c>
      <c r="C77">
        <v>0.38500000000000001</v>
      </c>
      <c r="D77">
        <v>172</v>
      </c>
      <c r="E77">
        <v>-60</v>
      </c>
      <c r="F77">
        <v>30</v>
      </c>
    </row>
    <row r="78" spans="1:6" x14ac:dyDescent="0.3">
      <c r="A78" t="s">
        <v>1261</v>
      </c>
      <c r="B78" t="s">
        <v>1540</v>
      </c>
      <c r="C78">
        <v>1.1550000000000002</v>
      </c>
      <c r="D78">
        <v>172</v>
      </c>
      <c r="E78">
        <v>-60</v>
      </c>
      <c r="F78">
        <v>30</v>
      </c>
    </row>
    <row r="79" spans="1:6" x14ac:dyDescent="0.3">
      <c r="A79" t="s">
        <v>1262</v>
      </c>
      <c r="B79" t="s">
        <v>1541</v>
      </c>
      <c r="C79">
        <v>0.44000000000000006</v>
      </c>
      <c r="D79">
        <v>172</v>
      </c>
      <c r="E79">
        <v>-60</v>
      </c>
      <c r="F79">
        <v>30</v>
      </c>
    </row>
    <row r="80" spans="1:6" x14ac:dyDescent="0.3">
      <c r="A80" t="s">
        <v>1263</v>
      </c>
      <c r="B80" t="s">
        <v>1542</v>
      </c>
      <c r="C80">
        <v>0.44000000000000006</v>
      </c>
      <c r="D80">
        <v>172</v>
      </c>
      <c r="E80">
        <v>-60</v>
      </c>
      <c r="F80">
        <v>30</v>
      </c>
    </row>
    <row r="81" spans="1:6" x14ac:dyDescent="0.3">
      <c r="A81" t="s">
        <v>1264</v>
      </c>
      <c r="B81" t="s">
        <v>1543</v>
      </c>
      <c r="C81">
        <v>1.1770000000000003</v>
      </c>
      <c r="D81">
        <v>172</v>
      </c>
      <c r="E81">
        <v>-60</v>
      </c>
      <c r="F81">
        <v>30</v>
      </c>
    </row>
    <row r="82" spans="1:6" x14ac:dyDescent="0.3">
      <c r="A82" t="s">
        <v>1265</v>
      </c>
      <c r="B82" t="s">
        <v>1544</v>
      </c>
      <c r="C82">
        <v>0.44000000000000006</v>
      </c>
      <c r="D82">
        <v>172</v>
      </c>
      <c r="E82">
        <v>-60</v>
      </c>
      <c r="F82">
        <v>30</v>
      </c>
    </row>
    <row r="83" spans="1:6" x14ac:dyDescent="0.3">
      <c r="A83" t="s">
        <v>1266</v>
      </c>
      <c r="B83" t="s">
        <v>1545</v>
      </c>
      <c r="C83">
        <v>0.38500000000000001</v>
      </c>
      <c r="D83">
        <v>172</v>
      </c>
      <c r="E83">
        <v>-60</v>
      </c>
      <c r="F83">
        <v>30</v>
      </c>
    </row>
    <row r="84" spans="1:6" x14ac:dyDescent="0.3">
      <c r="A84" t="s">
        <v>1267</v>
      </c>
      <c r="B84" t="s">
        <v>1546</v>
      </c>
      <c r="C84">
        <v>1.54</v>
      </c>
      <c r="D84">
        <v>172</v>
      </c>
      <c r="E84">
        <v>-60</v>
      </c>
      <c r="F84">
        <v>30</v>
      </c>
    </row>
    <row r="85" spans="1:6" x14ac:dyDescent="0.3">
      <c r="A85" t="s">
        <v>1268</v>
      </c>
      <c r="B85" t="s">
        <v>1547</v>
      </c>
      <c r="C85">
        <v>0.44000000000000006</v>
      </c>
      <c r="D85">
        <v>172</v>
      </c>
      <c r="E85">
        <v>-60</v>
      </c>
      <c r="F85">
        <v>30</v>
      </c>
    </row>
    <row r="86" spans="1:6" x14ac:dyDescent="0.3">
      <c r="A86" t="s">
        <v>1269</v>
      </c>
      <c r="B86" t="s">
        <v>1548</v>
      </c>
      <c r="C86">
        <v>0.38500000000000001</v>
      </c>
      <c r="D86">
        <v>172</v>
      </c>
      <c r="E86">
        <v>-60</v>
      </c>
      <c r="F86">
        <v>30</v>
      </c>
    </row>
    <row r="87" spans="1:6" x14ac:dyDescent="0.3">
      <c r="A87" t="s">
        <v>1270</v>
      </c>
      <c r="B87" t="s">
        <v>1549</v>
      </c>
      <c r="C87">
        <v>0.39600000000000002</v>
      </c>
      <c r="D87">
        <v>172</v>
      </c>
      <c r="E87">
        <v>-60</v>
      </c>
      <c r="F87">
        <v>30</v>
      </c>
    </row>
    <row r="88" spans="1:6" x14ac:dyDescent="0.3">
      <c r="A88" t="s">
        <v>1271</v>
      </c>
      <c r="B88" t="s">
        <v>1550</v>
      </c>
      <c r="C88">
        <v>0.39600000000000002</v>
      </c>
      <c r="D88">
        <v>172</v>
      </c>
      <c r="E88">
        <v>-60</v>
      </c>
      <c r="F88">
        <v>30</v>
      </c>
    </row>
    <row r="89" spans="1:6" x14ac:dyDescent="0.3">
      <c r="A89" t="s">
        <v>1272</v>
      </c>
      <c r="B89" t="s">
        <v>1551</v>
      </c>
      <c r="C89">
        <v>0.39600000000000002</v>
      </c>
      <c r="D89">
        <v>172</v>
      </c>
      <c r="E89">
        <v>-60</v>
      </c>
      <c r="F89">
        <v>30</v>
      </c>
    </row>
    <row r="90" spans="1:6" x14ac:dyDescent="0.3">
      <c r="A90" t="s">
        <v>1273</v>
      </c>
      <c r="B90" t="s">
        <v>1552</v>
      </c>
      <c r="C90">
        <v>0.42900000000000005</v>
      </c>
      <c r="D90">
        <v>172</v>
      </c>
      <c r="E90">
        <v>-60</v>
      </c>
      <c r="F90">
        <v>30</v>
      </c>
    </row>
    <row r="91" spans="1:6" x14ac:dyDescent="0.3">
      <c r="A91" t="s">
        <v>1274</v>
      </c>
      <c r="B91" t="s">
        <v>1553</v>
      </c>
      <c r="C91">
        <v>0.42900000000000005</v>
      </c>
      <c r="D91">
        <v>172</v>
      </c>
      <c r="E91">
        <v>-60</v>
      </c>
      <c r="F91">
        <v>30</v>
      </c>
    </row>
    <row r="92" spans="1:6" x14ac:dyDescent="0.3">
      <c r="A92" t="s">
        <v>1275</v>
      </c>
      <c r="B92" t="s">
        <v>1554</v>
      </c>
      <c r="C92">
        <v>0.42900000000000005</v>
      </c>
      <c r="D92">
        <v>172</v>
      </c>
      <c r="E92">
        <v>-60</v>
      </c>
      <c r="F92">
        <v>30</v>
      </c>
    </row>
    <row r="93" spans="1:6" x14ac:dyDescent="0.3">
      <c r="A93" t="s">
        <v>1276</v>
      </c>
      <c r="B93" t="s">
        <v>1555</v>
      </c>
      <c r="C93">
        <v>0.44000000000000006</v>
      </c>
      <c r="D93">
        <v>172</v>
      </c>
      <c r="E93">
        <v>-60</v>
      </c>
      <c r="F93">
        <v>30</v>
      </c>
    </row>
    <row r="94" spans="1:6" x14ac:dyDescent="0.3">
      <c r="A94" t="s">
        <v>1277</v>
      </c>
      <c r="B94" t="s">
        <v>1556</v>
      </c>
      <c r="C94">
        <v>0.16500000000000001</v>
      </c>
      <c r="D94">
        <v>172</v>
      </c>
      <c r="E94">
        <v>-60</v>
      </c>
      <c r="F94">
        <v>30</v>
      </c>
    </row>
    <row r="95" spans="1:6" x14ac:dyDescent="0.3">
      <c r="A95" t="s">
        <v>1278</v>
      </c>
      <c r="B95" t="s">
        <v>925</v>
      </c>
      <c r="C95">
        <v>1.1599999999999999</v>
      </c>
      <c r="D95">
        <v>180</v>
      </c>
      <c r="E95">
        <v>0</v>
      </c>
      <c r="F95">
        <v>30</v>
      </c>
    </row>
    <row r="96" spans="1:6" x14ac:dyDescent="0.3">
      <c r="A96" t="s">
        <v>1279</v>
      </c>
      <c r="B96" t="s">
        <v>931</v>
      </c>
      <c r="C96">
        <v>0.6</v>
      </c>
      <c r="D96">
        <v>180</v>
      </c>
      <c r="E96">
        <v>0</v>
      </c>
      <c r="F96">
        <v>30</v>
      </c>
    </row>
    <row r="97" spans="1:6" x14ac:dyDescent="0.3">
      <c r="A97" t="s">
        <v>1280</v>
      </c>
      <c r="B97" t="s">
        <v>936</v>
      </c>
      <c r="C97">
        <v>0.3</v>
      </c>
      <c r="D97">
        <v>180</v>
      </c>
      <c r="E97">
        <v>0</v>
      </c>
      <c r="F97">
        <v>30</v>
      </c>
    </row>
    <row r="98" spans="1:6" x14ac:dyDescent="0.3">
      <c r="A98" t="s">
        <v>1281</v>
      </c>
      <c r="B98" t="s">
        <v>941</v>
      </c>
      <c r="C98">
        <v>1.44</v>
      </c>
      <c r="D98">
        <v>180</v>
      </c>
      <c r="E98">
        <v>0</v>
      </c>
      <c r="F98">
        <v>30</v>
      </c>
    </row>
    <row r="99" spans="1:6" x14ac:dyDescent="0.3">
      <c r="A99" t="s">
        <v>1282</v>
      </c>
      <c r="B99" t="s">
        <v>946</v>
      </c>
      <c r="C99">
        <v>0.57999999999999996</v>
      </c>
      <c r="D99">
        <v>180</v>
      </c>
      <c r="E99">
        <v>0</v>
      </c>
      <c r="F99">
        <v>30</v>
      </c>
    </row>
    <row r="100" spans="1:6" x14ac:dyDescent="0.3">
      <c r="A100" t="s">
        <v>1283</v>
      </c>
      <c r="B100" t="s">
        <v>951</v>
      </c>
      <c r="C100">
        <v>0.25</v>
      </c>
      <c r="D100">
        <v>180</v>
      </c>
      <c r="E100">
        <v>0</v>
      </c>
      <c r="F100">
        <v>30</v>
      </c>
    </row>
    <row r="101" spans="1:6" x14ac:dyDescent="0.3">
      <c r="A101" t="s">
        <v>1284</v>
      </c>
      <c r="B101" t="s">
        <v>956</v>
      </c>
      <c r="C101">
        <v>1.31</v>
      </c>
      <c r="D101">
        <v>180</v>
      </c>
      <c r="E101">
        <v>0</v>
      </c>
      <c r="F101">
        <v>30</v>
      </c>
    </row>
    <row r="102" spans="1:6" x14ac:dyDescent="0.3">
      <c r="A102" t="s">
        <v>1285</v>
      </c>
      <c r="B102" t="s">
        <v>961</v>
      </c>
      <c r="C102">
        <v>0.59</v>
      </c>
      <c r="D102">
        <v>180</v>
      </c>
      <c r="E102">
        <v>0</v>
      </c>
      <c r="F102">
        <v>30</v>
      </c>
    </row>
    <row r="103" spans="1:6" x14ac:dyDescent="0.3">
      <c r="A103" t="s">
        <v>1286</v>
      </c>
      <c r="B103" t="s">
        <v>966</v>
      </c>
      <c r="C103">
        <v>0.31</v>
      </c>
      <c r="D103">
        <v>180</v>
      </c>
      <c r="E103">
        <v>0</v>
      </c>
      <c r="F103">
        <v>30</v>
      </c>
    </row>
    <row r="104" spans="1:6" x14ac:dyDescent="0.3">
      <c r="A104" t="s">
        <v>1287</v>
      </c>
      <c r="B104" t="s">
        <v>971</v>
      </c>
      <c r="C104">
        <v>1.1200000000000001</v>
      </c>
      <c r="D104">
        <v>180</v>
      </c>
      <c r="E104">
        <v>0</v>
      </c>
      <c r="F104">
        <v>30</v>
      </c>
    </row>
    <row r="105" spans="1:6" x14ac:dyDescent="0.3">
      <c r="A105" t="s">
        <v>1288</v>
      </c>
      <c r="B105" t="s">
        <v>976</v>
      </c>
      <c r="C105">
        <v>0.7</v>
      </c>
      <c r="D105">
        <v>180</v>
      </c>
      <c r="E105">
        <v>0</v>
      </c>
      <c r="F105">
        <v>30</v>
      </c>
    </row>
    <row r="106" spans="1:6" x14ac:dyDescent="0.3">
      <c r="A106" t="s">
        <v>1289</v>
      </c>
      <c r="B106" t="s">
        <v>981</v>
      </c>
      <c r="C106">
        <v>0.33</v>
      </c>
      <c r="D106">
        <v>180</v>
      </c>
      <c r="E106">
        <v>0</v>
      </c>
      <c r="F106">
        <v>30</v>
      </c>
    </row>
    <row r="107" spans="1:6" x14ac:dyDescent="0.3">
      <c r="A107" t="s">
        <v>1290</v>
      </c>
      <c r="B107" t="s">
        <v>986</v>
      </c>
      <c r="C107">
        <v>1.1599999999999999</v>
      </c>
      <c r="D107">
        <v>180</v>
      </c>
      <c r="E107">
        <v>0</v>
      </c>
      <c r="F107">
        <v>30</v>
      </c>
    </row>
    <row r="108" spans="1:6" x14ac:dyDescent="0.3">
      <c r="A108" t="s">
        <v>1291</v>
      </c>
      <c r="B108" t="s">
        <v>991</v>
      </c>
      <c r="C108">
        <v>0.52</v>
      </c>
      <c r="D108">
        <v>180</v>
      </c>
      <c r="E108">
        <v>0</v>
      </c>
      <c r="F108">
        <v>30</v>
      </c>
    </row>
    <row r="109" spans="1:6" x14ac:dyDescent="0.3">
      <c r="A109" t="s">
        <v>1292</v>
      </c>
      <c r="B109" t="s">
        <v>996</v>
      </c>
      <c r="C109">
        <v>0.3</v>
      </c>
      <c r="D109">
        <v>180</v>
      </c>
      <c r="E109">
        <v>0</v>
      </c>
      <c r="F109">
        <v>30</v>
      </c>
    </row>
    <row r="110" spans="1:6" x14ac:dyDescent="0.3">
      <c r="A110" t="s">
        <v>1293</v>
      </c>
      <c r="B110" t="s">
        <v>1001</v>
      </c>
      <c r="C110">
        <v>1.06</v>
      </c>
      <c r="D110">
        <v>180</v>
      </c>
      <c r="E110">
        <v>0</v>
      </c>
      <c r="F110">
        <v>30</v>
      </c>
    </row>
    <row r="111" spans="1:6" x14ac:dyDescent="0.3">
      <c r="A111" t="s">
        <v>1294</v>
      </c>
      <c r="B111" t="s">
        <v>1006</v>
      </c>
      <c r="C111">
        <v>0.66</v>
      </c>
      <c r="D111">
        <v>180</v>
      </c>
      <c r="E111">
        <v>0</v>
      </c>
      <c r="F111">
        <v>30</v>
      </c>
    </row>
    <row r="112" spans="1:6" x14ac:dyDescent="0.3">
      <c r="A112" t="s">
        <v>1295</v>
      </c>
      <c r="B112" t="s">
        <v>1011</v>
      </c>
      <c r="C112">
        <v>0.39</v>
      </c>
      <c r="D112">
        <v>180</v>
      </c>
      <c r="E112">
        <v>0</v>
      </c>
      <c r="F112">
        <v>30</v>
      </c>
    </row>
    <row r="113" spans="1:6" x14ac:dyDescent="0.3">
      <c r="A113" t="s">
        <v>1296</v>
      </c>
      <c r="B113" t="s">
        <v>1016</v>
      </c>
      <c r="C113">
        <v>1.24</v>
      </c>
      <c r="D113">
        <v>180</v>
      </c>
      <c r="E113">
        <v>0</v>
      </c>
      <c r="F113">
        <v>30</v>
      </c>
    </row>
    <row r="114" spans="1:6" x14ac:dyDescent="0.3">
      <c r="A114" t="s">
        <v>1297</v>
      </c>
      <c r="B114" t="s">
        <v>1021</v>
      </c>
      <c r="C114">
        <v>0.79</v>
      </c>
      <c r="D114">
        <v>180</v>
      </c>
      <c r="E114">
        <v>0</v>
      </c>
      <c r="F114">
        <v>30</v>
      </c>
    </row>
    <row r="115" spans="1:6" x14ac:dyDescent="0.3">
      <c r="A115" t="s">
        <v>1298</v>
      </c>
      <c r="B115" t="s">
        <v>1026</v>
      </c>
      <c r="C115">
        <v>0.38</v>
      </c>
      <c r="D115">
        <v>180</v>
      </c>
      <c r="E115">
        <v>0</v>
      </c>
      <c r="F115">
        <v>30</v>
      </c>
    </row>
    <row r="116" spans="1:6" x14ac:dyDescent="0.3">
      <c r="A116" t="s">
        <v>1299</v>
      </c>
      <c r="B116" t="s">
        <v>1031</v>
      </c>
      <c r="C116">
        <v>1.1200000000000001</v>
      </c>
      <c r="D116">
        <v>180</v>
      </c>
      <c r="E116">
        <v>0</v>
      </c>
      <c r="F116">
        <v>30</v>
      </c>
    </row>
    <row r="117" spans="1:6" x14ac:dyDescent="0.3">
      <c r="A117" t="s">
        <v>1300</v>
      </c>
      <c r="B117" t="s">
        <v>1036</v>
      </c>
      <c r="C117">
        <v>0.54</v>
      </c>
      <c r="D117">
        <v>180</v>
      </c>
      <c r="E117">
        <v>0</v>
      </c>
      <c r="F117">
        <v>30</v>
      </c>
    </row>
    <row r="118" spans="1:6" x14ac:dyDescent="0.3">
      <c r="A118" t="s">
        <v>1301</v>
      </c>
      <c r="B118" t="s">
        <v>1041</v>
      </c>
      <c r="C118">
        <v>0.28000000000000003</v>
      </c>
      <c r="D118">
        <v>180</v>
      </c>
      <c r="E118">
        <v>0</v>
      </c>
      <c r="F118">
        <v>30</v>
      </c>
    </row>
    <row r="119" spans="1:6" x14ac:dyDescent="0.3">
      <c r="A119" t="s">
        <v>1302</v>
      </c>
      <c r="B119" t="s">
        <v>1046</v>
      </c>
      <c r="C119">
        <v>1.32</v>
      </c>
      <c r="D119">
        <v>180</v>
      </c>
      <c r="E119">
        <v>0</v>
      </c>
      <c r="F119">
        <v>30</v>
      </c>
    </row>
    <row r="120" spans="1:6" x14ac:dyDescent="0.3">
      <c r="A120" t="s">
        <v>1303</v>
      </c>
      <c r="B120" t="s">
        <v>1051</v>
      </c>
      <c r="C120">
        <v>0.5</v>
      </c>
      <c r="D120">
        <v>180</v>
      </c>
      <c r="E120">
        <v>0</v>
      </c>
      <c r="F120">
        <v>30</v>
      </c>
    </row>
    <row r="121" spans="1:6" x14ac:dyDescent="0.3">
      <c r="A121" t="s">
        <v>1304</v>
      </c>
      <c r="B121" t="s">
        <v>1056</v>
      </c>
      <c r="C121">
        <v>0.33</v>
      </c>
      <c r="D121">
        <v>180</v>
      </c>
      <c r="E121">
        <v>0</v>
      </c>
      <c r="F121">
        <v>30</v>
      </c>
    </row>
    <row r="122" spans="1:6" x14ac:dyDescent="0.3">
      <c r="A122" t="s">
        <v>1305</v>
      </c>
      <c r="B122" t="s">
        <v>1061</v>
      </c>
      <c r="C122">
        <v>1.3</v>
      </c>
      <c r="D122">
        <v>180</v>
      </c>
      <c r="E122">
        <v>0</v>
      </c>
      <c r="F122">
        <v>30</v>
      </c>
    </row>
    <row r="123" spans="1:6" x14ac:dyDescent="0.3">
      <c r="A123" t="s">
        <v>1306</v>
      </c>
      <c r="B123" t="s">
        <v>1066</v>
      </c>
      <c r="C123">
        <v>0.55000000000000004</v>
      </c>
      <c r="D123">
        <v>180</v>
      </c>
      <c r="E123">
        <v>0</v>
      </c>
      <c r="F123">
        <v>30</v>
      </c>
    </row>
    <row r="124" spans="1:6" x14ac:dyDescent="0.3">
      <c r="A124" t="s">
        <v>1307</v>
      </c>
      <c r="B124" t="s">
        <v>1071</v>
      </c>
      <c r="C124">
        <v>0.24</v>
      </c>
      <c r="D124">
        <v>180</v>
      </c>
      <c r="E124">
        <v>0</v>
      </c>
      <c r="F124">
        <v>30</v>
      </c>
    </row>
    <row r="125" spans="1:6" x14ac:dyDescent="0.3">
      <c r="A125" t="s">
        <v>1308</v>
      </c>
      <c r="B125" t="s">
        <v>1076</v>
      </c>
      <c r="C125">
        <v>1.43</v>
      </c>
      <c r="D125">
        <v>180</v>
      </c>
      <c r="E125">
        <v>0</v>
      </c>
      <c r="F125">
        <v>30</v>
      </c>
    </row>
    <row r="126" spans="1:6" x14ac:dyDescent="0.3">
      <c r="A126" t="s">
        <v>1309</v>
      </c>
      <c r="B126" t="s">
        <v>1081</v>
      </c>
      <c r="C126">
        <v>0.68</v>
      </c>
      <c r="D126">
        <v>180</v>
      </c>
      <c r="E126">
        <v>0</v>
      </c>
      <c r="F126">
        <v>30</v>
      </c>
    </row>
    <row r="127" spans="1:6" x14ac:dyDescent="0.3">
      <c r="A127" t="s">
        <v>1310</v>
      </c>
      <c r="B127" t="s">
        <v>1086</v>
      </c>
      <c r="C127">
        <v>0.22</v>
      </c>
      <c r="D127">
        <v>180</v>
      </c>
      <c r="E127">
        <v>0</v>
      </c>
      <c r="F127">
        <v>30</v>
      </c>
    </row>
    <row r="128" spans="1:6" x14ac:dyDescent="0.3">
      <c r="A128" t="s">
        <v>1311</v>
      </c>
      <c r="B128" t="s">
        <v>1091</v>
      </c>
      <c r="C128">
        <v>1.2</v>
      </c>
      <c r="D128">
        <v>180</v>
      </c>
      <c r="E128">
        <v>0</v>
      </c>
      <c r="F128">
        <v>30</v>
      </c>
    </row>
    <row r="129" spans="1:6" x14ac:dyDescent="0.3">
      <c r="A129" t="s">
        <v>1312</v>
      </c>
      <c r="B129" t="s">
        <v>1096</v>
      </c>
      <c r="C129">
        <v>0.62</v>
      </c>
      <c r="D129">
        <v>180</v>
      </c>
      <c r="E129">
        <v>0</v>
      </c>
      <c r="F129">
        <v>30</v>
      </c>
    </row>
    <row r="130" spans="1:6" x14ac:dyDescent="0.3">
      <c r="A130" t="s">
        <v>1313</v>
      </c>
      <c r="B130" t="s">
        <v>1101</v>
      </c>
      <c r="C130">
        <v>0.31</v>
      </c>
      <c r="D130">
        <v>180</v>
      </c>
      <c r="E130">
        <v>0</v>
      </c>
      <c r="F130">
        <v>30</v>
      </c>
    </row>
    <row r="131" spans="1:6" x14ac:dyDescent="0.3">
      <c r="A131" t="s">
        <v>1314</v>
      </c>
      <c r="B131" t="s">
        <v>1106</v>
      </c>
      <c r="C131">
        <v>1.1399999999999999</v>
      </c>
      <c r="D131">
        <v>180</v>
      </c>
      <c r="E131">
        <v>0</v>
      </c>
      <c r="F131">
        <v>30</v>
      </c>
    </row>
    <row r="132" spans="1:6" x14ac:dyDescent="0.3">
      <c r="A132" t="s">
        <v>1315</v>
      </c>
      <c r="B132" t="s">
        <v>1111</v>
      </c>
      <c r="C132">
        <v>0.54</v>
      </c>
      <c r="D132">
        <v>180</v>
      </c>
      <c r="E132">
        <v>0</v>
      </c>
      <c r="F132">
        <v>30</v>
      </c>
    </row>
    <row r="133" spans="1:6" x14ac:dyDescent="0.3">
      <c r="A133" t="s">
        <v>1316</v>
      </c>
      <c r="B133" t="s">
        <v>1116</v>
      </c>
      <c r="C133">
        <v>0.28000000000000003</v>
      </c>
      <c r="D133">
        <v>180</v>
      </c>
      <c r="E133">
        <v>0</v>
      </c>
      <c r="F133">
        <v>30</v>
      </c>
    </row>
    <row r="134" spans="1:6" x14ac:dyDescent="0.3">
      <c r="A134" t="s">
        <v>1278</v>
      </c>
      <c r="B134" t="s">
        <v>926</v>
      </c>
      <c r="C134">
        <v>1.07</v>
      </c>
      <c r="D134">
        <v>180</v>
      </c>
      <c r="E134">
        <v>0</v>
      </c>
      <c r="F134">
        <v>30</v>
      </c>
    </row>
    <row r="135" spans="1:6" x14ac:dyDescent="0.3">
      <c r="A135" t="s">
        <v>1279</v>
      </c>
      <c r="B135" t="s">
        <v>932</v>
      </c>
      <c r="C135">
        <v>0.27</v>
      </c>
      <c r="D135">
        <v>180</v>
      </c>
      <c r="E135">
        <v>0</v>
      </c>
      <c r="F135">
        <v>30</v>
      </c>
    </row>
    <row r="136" spans="1:6" x14ac:dyDescent="0.3">
      <c r="A136" t="s">
        <v>1280</v>
      </c>
      <c r="B136" t="s">
        <v>937</v>
      </c>
      <c r="C136">
        <v>0.21</v>
      </c>
      <c r="D136">
        <v>180</v>
      </c>
      <c r="E136">
        <v>0</v>
      </c>
      <c r="F136">
        <v>30</v>
      </c>
    </row>
    <row r="137" spans="1:6" x14ac:dyDescent="0.3">
      <c r="A137" t="s">
        <v>1281</v>
      </c>
      <c r="B137" t="s">
        <v>942</v>
      </c>
      <c r="C137">
        <v>0.82</v>
      </c>
      <c r="D137">
        <v>180</v>
      </c>
      <c r="E137">
        <v>0</v>
      </c>
      <c r="F137">
        <v>30</v>
      </c>
    </row>
    <row r="138" spans="1:6" x14ac:dyDescent="0.3">
      <c r="A138" t="s">
        <v>1282</v>
      </c>
      <c r="B138" t="s">
        <v>947</v>
      </c>
      <c r="C138">
        <v>0.53</v>
      </c>
      <c r="D138">
        <v>180</v>
      </c>
      <c r="E138">
        <v>0</v>
      </c>
      <c r="F138">
        <v>30</v>
      </c>
    </row>
    <row r="139" spans="1:6" x14ac:dyDescent="0.3">
      <c r="A139" t="s">
        <v>1283</v>
      </c>
      <c r="B139" t="s">
        <v>952</v>
      </c>
      <c r="C139">
        <v>0.23</v>
      </c>
      <c r="D139">
        <v>180</v>
      </c>
      <c r="E139">
        <v>0</v>
      </c>
      <c r="F139">
        <v>30</v>
      </c>
    </row>
    <row r="140" spans="1:6" x14ac:dyDescent="0.3">
      <c r="A140" t="s">
        <v>1284</v>
      </c>
      <c r="B140" t="s">
        <v>957</v>
      </c>
      <c r="C140">
        <v>0.7</v>
      </c>
      <c r="D140">
        <v>180</v>
      </c>
      <c r="E140">
        <v>0</v>
      </c>
      <c r="F140">
        <v>30</v>
      </c>
    </row>
    <row r="141" spans="1:6" x14ac:dyDescent="0.3">
      <c r="A141" t="s">
        <v>1285</v>
      </c>
      <c r="B141" t="s">
        <v>962</v>
      </c>
      <c r="C141">
        <v>0.25</v>
      </c>
      <c r="D141">
        <v>180</v>
      </c>
      <c r="E141">
        <v>0</v>
      </c>
      <c r="F141">
        <v>30</v>
      </c>
    </row>
    <row r="142" spans="1:6" x14ac:dyDescent="0.3">
      <c r="A142" t="s">
        <v>1286</v>
      </c>
      <c r="B142" t="s">
        <v>967</v>
      </c>
      <c r="C142">
        <v>0.14000000000000001</v>
      </c>
      <c r="D142">
        <v>180</v>
      </c>
      <c r="E142">
        <v>0</v>
      </c>
      <c r="F142">
        <v>30</v>
      </c>
    </row>
    <row r="143" spans="1:6" x14ac:dyDescent="0.3">
      <c r="A143" t="s">
        <v>1287</v>
      </c>
      <c r="B143" t="s">
        <v>972</v>
      </c>
      <c r="C143">
        <v>0.79</v>
      </c>
      <c r="D143">
        <v>180</v>
      </c>
      <c r="E143">
        <v>0</v>
      </c>
      <c r="F143">
        <v>30</v>
      </c>
    </row>
    <row r="144" spans="1:6" x14ac:dyDescent="0.3">
      <c r="A144" t="s">
        <v>1288</v>
      </c>
      <c r="B144" t="s">
        <v>977</v>
      </c>
      <c r="C144">
        <v>0.44</v>
      </c>
      <c r="D144">
        <v>180</v>
      </c>
      <c r="E144">
        <v>0</v>
      </c>
      <c r="F144">
        <v>30</v>
      </c>
    </row>
    <row r="145" spans="1:6" x14ac:dyDescent="0.3">
      <c r="A145" t="s">
        <v>1289</v>
      </c>
      <c r="B145" t="s">
        <v>982</v>
      </c>
      <c r="C145">
        <v>0.18</v>
      </c>
      <c r="D145">
        <v>180</v>
      </c>
      <c r="E145">
        <v>0</v>
      </c>
      <c r="F145">
        <v>30</v>
      </c>
    </row>
    <row r="146" spans="1:6" x14ac:dyDescent="0.3">
      <c r="A146" t="s">
        <v>1290</v>
      </c>
      <c r="B146" t="s">
        <v>987</v>
      </c>
      <c r="C146">
        <v>0.99</v>
      </c>
      <c r="D146">
        <v>180</v>
      </c>
      <c r="E146">
        <v>0</v>
      </c>
      <c r="F146">
        <v>30</v>
      </c>
    </row>
    <row r="147" spans="1:6" x14ac:dyDescent="0.3">
      <c r="A147" t="s">
        <v>1291</v>
      </c>
      <c r="B147" t="s">
        <v>992</v>
      </c>
      <c r="C147">
        <v>0.44</v>
      </c>
      <c r="D147">
        <v>180</v>
      </c>
      <c r="E147">
        <v>0</v>
      </c>
      <c r="F147">
        <v>30</v>
      </c>
    </row>
    <row r="148" spans="1:6" x14ac:dyDescent="0.3">
      <c r="A148" t="s">
        <v>1292</v>
      </c>
      <c r="B148" t="s">
        <v>997</v>
      </c>
      <c r="C148">
        <v>0.54</v>
      </c>
      <c r="D148">
        <v>180</v>
      </c>
      <c r="E148">
        <v>0</v>
      </c>
      <c r="F148">
        <v>30</v>
      </c>
    </row>
    <row r="149" spans="1:6" x14ac:dyDescent="0.3">
      <c r="A149" t="s">
        <v>1293</v>
      </c>
      <c r="B149" t="s">
        <v>1002</v>
      </c>
      <c r="C149">
        <v>0.56999999999999995</v>
      </c>
      <c r="D149">
        <v>180</v>
      </c>
      <c r="E149">
        <v>0</v>
      </c>
      <c r="F149">
        <v>30</v>
      </c>
    </row>
    <row r="150" spans="1:6" x14ac:dyDescent="0.3">
      <c r="A150" t="s">
        <v>1294</v>
      </c>
      <c r="B150" t="s">
        <v>1007</v>
      </c>
      <c r="C150">
        <v>0.56999999999999995</v>
      </c>
      <c r="D150">
        <v>180</v>
      </c>
      <c r="E150">
        <v>0</v>
      </c>
      <c r="F150">
        <v>30</v>
      </c>
    </row>
    <row r="151" spans="1:6" x14ac:dyDescent="0.3">
      <c r="A151" t="s">
        <v>1295</v>
      </c>
      <c r="B151" t="s">
        <v>1012</v>
      </c>
      <c r="C151">
        <v>0.99</v>
      </c>
      <c r="D151">
        <v>180</v>
      </c>
      <c r="E151">
        <v>0</v>
      </c>
      <c r="F151">
        <v>30</v>
      </c>
    </row>
    <row r="152" spans="1:6" x14ac:dyDescent="0.3">
      <c r="A152" t="s">
        <v>1296</v>
      </c>
      <c r="B152" t="s">
        <v>1017</v>
      </c>
      <c r="C152">
        <v>0.83</v>
      </c>
      <c r="D152">
        <v>180</v>
      </c>
      <c r="E152">
        <v>0</v>
      </c>
      <c r="F152">
        <v>30</v>
      </c>
    </row>
    <row r="153" spans="1:6" x14ac:dyDescent="0.3">
      <c r="A153" t="s">
        <v>1297</v>
      </c>
      <c r="B153" t="s">
        <v>1022</v>
      </c>
      <c r="C153">
        <v>0.37</v>
      </c>
      <c r="D153">
        <v>180</v>
      </c>
      <c r="E153">
        <v>0</v>
      </c>
      <c r="F153">
        <v>30</v>
      </c>
    </row>
    <row r="154" spans="1:6" x14ac:dyDescent="0.3">
      <c r="A154" t="s">
        <v>1298</v>
      </c>
      <c r="B154" t="s">
        <v>1027</v>
      </c>
      <c r="C154">
        <v>0.26</v>
      </c>
      <c r="D154">
        <v>180</v>
      </c>
      <c r="E154">
        <v>0</v>
      </c>
      <c r="F154">
        <v>30</v>
      </c>
    </row>
    <row r="155" spans="1:6" x14ac:dyDescent="0.3">
      <c r="A155" t="s">
        <v>1299</v>
      </c>
      <c r="B155" t="s">
        <v>1032</v>
      </c>
      <c r="C155">
        <v>1.01</v>
      </c>
      <c r="D155">
        <v>180</v>
      </c>
      <c r="E155">
        <v>0</v>
      </c>
      <c r="F155">
        <v>30</v>
      </c>
    </row>
    <row r="156" spans="1:6" x14ac:dyDescent="0.3">
      <c r="A156" t="s">
        <v>1300</v>
      </c>
      <c r="B156" t="s">
        <v>1037</v>
      </c>
      <c r="C156">
        <v>0.41</v>
      </c>
      <c r="D156">
        <v>180</v>
      </c>
      <c r="E156">
        <v>0</v>
      </c>
      <c r="F156">
        <v>30</v>
      </c>
    </row>
    <row r="157" spans="1:6" x14ac:dyDescent="0.3">
      <c r="A157" t="s">
        <v>1301</v>
      </c>
      <c r="B157" t="s">
        <v>1042</v>
      </c>
      <c r="C157">
        <v>0.22</v>
      </c>
      <c r="D157">
        <v>180</v>
      </c>
      <c r="E157">
        <v>0</v>
      </c>
      <c r="F157">
        <v>30</v>
      </c>
    </row>
    <row r="158" spans="1:6" x14ac:dyDescent="0.3">
      <c r="A158" t="s">
        <v>1302</v>
      </c>
      <c r="B158" t="s">
        <v>1047</v>
      </c>
      <c r="C158">
        <v>0.37</v>
      </c>
      <c r="D158">
        <v>180</v>
      </c>
      <c r="E158">
        <v>0</v>
      </c>
      <c r="F158">
        <v>30</v>
      </c>
    </row>
    <row r="159" spans="1:6" x14ac:dyDescent="0.3">
      <c r="A159" t="s">
        <v>1303</v>
      </c>
      <c r="B159" t="s">
        <v>1052</v>
      </c>
      <c r="C159">
        <v>0.5</v>
      </c>
      <c r="D159">
        <v>180</v>
      </c>
      <c r="E159">
        <v>0</v>
      </c>
      <c r="F159">
        <v>30</v>
      </c>
    </row>
    <row r="160" spans="1:6" x14ac:dyDescent="0.3">
      <c r="A160" t="s">
        <v>1304</v>
      </c>
      <c r="B160" t="s">
        <v>1057</v>
      </c>
      <c r="C160">
        <v>0.12</v>
      </c>
      <c r="D160">
        <v>180</v>
      </c>
      <c r="E160">
        <v>0</v>
      </c>
      <c r="F160">
        <v>30</v>
      </c>
    </row>
    <row r="161" spans="1:6" x14ac:dyDescent="0.3">
      <c r="A161" t="s">
        <v>1305</v>
      </c>
      <c r="B161" t="s">
        <v>1062</v>
      </c>
      <c r="C161">
        <v>1.51</v>
      </c>
      <c r="D161">
        <v>180</v>
      </c>
      <c r="E161">
        <v>0</v>
      </c>
      <c r="F161">
        <v>30</v>
      </c>
    </row>
    <row r="162" spans="1:6" x14ac:dyDescent="0.3">
      <c r="A162" t="s">
        <v>1306</v>
      </c>
      <c r="B162" t="s">
        <v>1067</v>
      </c>
      <c r="C162">
        <v>0.37</v>
      </c>
      <c r="D162">
        <v>180</v>
      </c>
      <c r="E162">
        <v>0</v>
      </c>
      <c r="F162">
        <v>30</v>
      </c>
    </row>
    <row r="163" spans="1:6" x14ac:dyDescent="0.3">
      <c r="A163" t="s">
        <v>1307</v>
      </c>
      <c r="B163" t="s">
        <v>1072</v>
      </c>
      <c r="C163">
        <v>0.24</v>
      </c>
      <c r="D163">
        <v>180</v>
      </c>
      <c r="E163">
        <v>0</v>
      </c>
      <c r="F163">
        <v>30</v>
      </c>
    </row>
    <row r="164" spans="1:6" x14ac:dyDescent="0.3">
      <c r="A164" t="s">
        <v>1308</v>
      </c>
      <c r="B164" t="s">
        <v>1077</v>
      </c>
      <c r="C164">
        <v>0.98</v>
      </c>
      <c r="D164">
        <v>180</v>
      </c>
      <c r="E164">
        <v>0</v>
      </c>
      <c r="F164">
        <v>30</v>
      </c>
    </row>
    <row r="165" spans="1:6" x14ac:dyDescent="0.3">
      <c r="A165" t="s">
        <v>1309</v>
      </c>
      <c r="B165" t="s">
        <v>1082</v>
      </c>
      <c r="C165">
        <v>0.61</v>
      </c>
      <c r="D165">
        <v>180</v>
      </c>
      <c r="E165">
        <v>0</v>
      </c>
      <c r="F165">
        <v>30</v>
      </c>
    </row>
    <row r="166" spans="1:6" x14ac:dyDescent="0.3">
      <c r="A166" t="s">
        <v>1310</v>
      </c>
      <c r="B166" t="s">
        <v>1087</v>
      </c>
      <c r="C166">
        <v>0.24</v>
      </c>
      <c r="D166">
        <v>180</v>
      </c>
      <c r="E166">
        <v>0</v>
      </c>
      <c r="F166">
        <v>30</v>
      </c>
    </row>
    <row r="167" spans="1:6" x14ac:dyDescent="0.3">
      <c r="A167" t="s">
        <v>1311</v>
      </c>
      <c r="B167" t="s">
        <v>1092</v>
      </c>
      <c r="C167">
        <v>0.64</v>
      </c>
      <c r="D167">
        <v>180</v>
      </c>
      <c r="E167">
        <v>0</v>
      </c>
      <c r="F167">
        <v>30</v>
      </c>
    </row>
    <row r="168" spans="1:6" x14ac:dyDescent="0.3">
      <c r="A168" t="s">
        <v>1312</v>
      </c>
      <c r="B168" t="s">
        <v>1097</v>
      </c>
      <c r="C168">
        <v>0.41</v>
      </c>
      <c r="D168">
        <v>180</v>
      </c>
      <c r="E168">
        <v>0</v>
      </c>
      <c r="F168">
        <v>30</v>
      </c>
    </row>
    <row r="169" spans="1:6" x14ac:dyDescent="0.3">
      <c r="A169" t="s">
        <v>1313</v>
      </c>
      <c r="B169" t="s">
        <v>1102</v>
      </c>
      <c r="C169">
        <v>0.2</v>
      </c>
      <c r="D169">
        <v>180</v>
      </c>
      <c r="E169">
        <v>0</v>
      </c>
      <c r="F169">
        <v>30</v>
      </c>
    </row>
    <row r="170" spans="1:6" x14ac:dyDescent="0.3">
      <c r="A170" t="s">
        <v>1314</v>
      </c>
      <c r="B170" t="s">
        <v>1107</v>
      </c>
      <c r="C170">
        <v>1.02</v>
      </c>
      <c r="D170">
        <v>180</v>
      </c>
      <c r="E170">
        <v>0</v>
      </c>
      <c r="F170">
        <v>30</v>
      </c>
    </row>
    <row r="171" spans="1:6" x14ac:dyDescent="0.3">
      <c r="A171" t="s">
        <v>1315</v>
      </c>
      <c r="B171" t="s">
        <v>1112</v>
      </c>
      <c r="C171">
        <v>0.39</v>
      </c>
      <c r="D171">
        <v>180</v>
      </c>
      <c r="E171">
        <v>0</v>
      </c>
      <c r="F171">
        <v>30</v>
      </c>
    </row>
    <row r="172" spans="1:6" x14ac:dyDescent="0.3">
      <c r="A172" t="s">
        <v>1316</v>
      </c>
      <c r="B172" t="s">
        <v>1117</v>
      </c>
      <c r="C172">
        <v>0.22</v>
      </c>
      <c r="D172">
        <v>180</v>
      </c>
      <c r="E172">
        <v>0</v>
      </c>
      <c r="F172">
        <v>30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9BDC-FBE2-4231-B84E-A02079345BE6}">
  <sheetPr>
    <tabColor theme="5" tint="0.39997558519241921"/>
  </sheetPr>
  <dimension ref="A1:D16"/>
  <sheetViews>
    <sheetView workbookViewId="0">
      <selection activeCell="A18" sqref="A18"/>
    </sheetView>
  </sheetViews>
  <sheetFormatPr baseColWidth="10" defaultRowHeight="14.4" x14ac:dyDescent="0.3"/>
  <cols>
    <col min="1" max="1" width="20.44140625" customWidth="1"/>
    <col min="2" max="2" width="25.44140625" customWidth="1"/>
    <col min="4" max="4" width="14.33203125" customWidth="1"/>
  </cols>
  <sheetData>
    <row r="1" spans="1:4" x14ac:dyDescent="0.3">
      <c r="A1" t="s">
        <v>4</v>
      </c>
      <c r="B1" t="s">
        <v>352</v>
      </c>
      <c r="C1" t="s">
        <v>383</v>
      </c>
      <c r="D1" t="s">
        <v>357</v>
      </c>
    </row>
    <row r="2" spans="1:4" x14ac:dyDescent="0.3">
      <c r="A2" t="s">
        <v>384</v>
      </c>
      <c r="B2" t="s">
        <v>385</v>
      </c>
      <c r="C2">
        <v>110000</v>
      </c>
      <c r="D2" t="s">
        <v>828</v>
      </c>
    </row>
    <row r="3" spans="1:4" x14ac:dyDescent="0.3">
      <c r="A3" t="s">
        <v>386</v>
      </c>
      <c r="B3" t="s">
        <v>63</v>
      </c>
      <c r="C3">
        <v>165000</v>
      </c>
      <c r="D3" t="s">
        <v>828</v>
      </c>
    </row>
    <row r="4" spans="1:4" x14ac:dyDescent="0.3">
      <c r="A4" t="s">
        <v>387</v>
      </c>
      <c r="B4" t="s">
        <v>39</v>
      </c>
      <c r="C4">
        <v>300000</v>
      </c>
    </row>
    <row r="5" spans="1:4" x14ac:dyDescent="0.3">
      <c r="A5" t="s">
        <v>829</v>
      </c>
      <c r="B5" t="s">
        <v>830</v>
      </c>
      <c r="C5">
        <v>370800</v>
      </c>
      <c r="D5" t="s">
        <v>828</v>
      </c>
    </row>
    <row r="6" spans="1:4" x14ac:dyDescent="0.3">
      <c r="A6" t="s">
        <v>837</v>
      </c>
      <c r="B6" t="s">
        <v>833</v>
      </c>
      <c r="C6">
        <v>216000</v>
      </c>
      <c r="D6" t="s">
        <v>836</v>
      </c>
    </row>
    <row r="7" spans="1:4" x14ac:dyDescent="0.3">
      <c r="A7" t="s">
        <v>831</v>
      </c>
      <c r="B7" t="s">
        <v>834</v>
      </c>
      <c r="C7">
        <v>475200</v>
      </c>
      <c r="D7" t="s">
        <v>836</v>
      </c>
    </row>
    <row r="8" spans="1:4" x14ac:dyDescent="0.3">
      <c r="A8" t="s">
        <v>832</v>
      </c>
      <c r="B8" t="s">
        <v>835</v>
      </c>
      <c r="C8">
        <v>734400</v>
      </c>
      <c r="D8" t="s">
        <v>836</v>
      </c>
    </row>
    <row r="9" spans="1:4" x14ac:dyDescent="0.3">
      <c r="A9" t="s">
        <v>1648</v>
      </c>
      <c r="B9" t="s">
        <v>1656</v>
      </c>
      <c r="C9">
        <v>110000</v>
      </c>
    </row>
    <row r="10" spans="1:4" x14ac:dyDescent="0.3">
      <c r="A10" t="s">
        <v>1649</v>
      </c>
      <c r="B10" t="s">
        <v>1657</v>
      </c>
      <c r="C10" s="21">
        <v>387428.57142857142</v>
      </c>
    </row>
    <row r="11" spans="1:4" x14ac:dyDescent="0.3">
      <c r="A11" t="s">
        <v>1650</v>
      </c>
      <c r="B11" t="s">
        <v>1658</v>
      </c>
      <c r="C11" s="21">
        <v>664857.14285714284</v>
      </c>
    </row>
    <row r="12" spans="1:4" x14ac:dyDescent="0.3">
      <c r="A12" t="s">
        <v>1651</v>
      </c>
      <c r="B12" t="s">
        <v>1659</v>
      </c>
      <c r="C12" s="21">
        <v>942285.71428571432</v>
      </c>
    </row>
    <row r="13" spans="1:4" x14ac:dyDescent="0.3">
      <c r="A13" t="s">
        <v>1652</v>
      </c>
      <c r="B13" t="s">
        <v>1660</v>
      </c>
      <c r="C13" s="21">
        <v>1219714.2857142857</v>
      </c>
    </row>
    <row r="14" spans="1:4" x14ac:dyDescent="0.3">
      <c r="A14" t="s">
        <v>1653</v>
      </c>
      <c r="B14" t="s">
        <v>1661</v>
      </c>
      <c r="C14" s="21">
        <v>1497142.857142857</v>
      </c>
    </row>
    <row r="15" spans="1:4" x14ac:dyDescent="0.3">
      <c r="A15" t="s">
        <v>1654</v>
      </c>
      <c r="B15" t="s">
        <v>1662</v>
      </c>
      <c r="C15" s="21">
        <v>1774571.4285714284</v>
      </c>
      <c r="D15" s="21"/>
    </row>
    <row r="16" spans="1:4" x14ac:dyDescent="0.3">
      <c r="A16" t="s">
        <v>1655</v>
      </c>
      <c r="B16" t="s">
        <v>1663</v>
      </c>
      <c r="C16">
        <v>2052000</v>
      </c>
      <c r="D16" s="21" t="s">
        <v>1664</v>
      </c>
    </row>
  </sheetData>
  <phoneticPr fontId="5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0FE2C-9123-4EC9-AA00-946A6418BFE5}">
  <sheetPr>
    <tabColor theme="5" tint="0.39997558519241921"/>
  </sheetPr>
  <dimension ref="A1:K132"/>
  <sheetViews>
    <sheetView topLeftCell="A95" workbookViewId="0">
      <selection activeCell="A14" sqref="A14:B132"/>
    </sheetView>
  </sheetViews>
  <sheetFormatPr baseColWidth="10" defaultRowHeight="14.4" x14ac:dyDescent="0.3"/>
  <sheetData>
    <row r="1" spans="1:11" x14ac:dyDescent="0.3">
      <c r="A1" t="s">
        <v>4</v>
      </c>
      <c r="B1" t="s">
        <v>352</v>
      </c>
      <c r="C1" t="s">
        <v>388</v>
      </c>
      <c r="D1" t="s">
        <v>389</v>
      </c>
      <c r="E1" t="s">
        <v>390</v>
      </c>
      <c r="F1" t="s">
        <v>391</v>
      </c>
      <c r="G1" t="s">
        <v>392</v>
      </c>
      <c r="H1" t="s">
        <v>393</v>
      </c>
      <c r="I1" t="s">
        <v>394</v>
      </c>
      <c r="J1" t="s">
        <v>395</v>
      </c>
      <c r="K1" t="s">
        <v>396</v>
      </c>
    </row>
    <row r="2" spans="1:11" x14ac:dyDescent="0.3">
      <c r="A2" t="s">
        <v>397</v>
      </c>
      <c r="B2" t="s">
        <v>73</v>
      </c>
      <c r="C2">
        <v>0.2</v>
      </c>
      <c r="D2">
        <v>0.6</v>
      </c>
      <c r="E2">
        <v>0.94</v>
      </c>
      <c r="F2">
        <v>0.4</v>
      </c>
      <c r="G2">
        <v>112</v>
      </c>
      <c r="H2">
        <v>0</v>
      </c>
      <c r="I2">
        <v>60</v>
      </c>
      <c r="J2" t="s">
        <v>414</v>
      </c>
      <c r="K2" t="s">
        <v>351</v>
      </c>
    </row>
    <row r="3" spans="1:11" x14ac:dyDescent="0.3">
      <c r="A3" t="s">
        <v>398</v>
      </c>
      <c r="B3" t="s">
        <v>42</v>
      </c>
      <c r="C3">
        <v>0.3</v>
      </c>
      <c r="D3">
        <v>0.55000000000000004</v>
      </c>
      <c r="E3">
        <v>0.91</v>
      </c>
      <c r="F3">
        <v>0.45</v>
      </c>
      <c r="G3">
        <v>112</v>
      </c>
      <c r="H3">
        <v>0</v>
      </c>
      <c r="I3">
        <v>60</v>
      </c>
      <c r="J3" t="s">
        <v>414</v>
      </c>
      <c r="K3" t="s">
        <v>351</v>
      </c>
    </row>
    <row r="4" spans="1:11" x14ac:dyDescent="0.3">
      <c r="A4" t="s">
        <v>399</v>
      </c>
      <c r="B4" t="s">
        <v>400</v>
      </c>
      <c r="C4">
        <v>0.3</v>
      </c>
      <c r="D4">
        <v>0.3</v>
      </c>
      <c r="E4">
        <v>0.9</v>
      </c>
      <c r="F4">
        <v>0.7</v>
      </c>
      <c r="G4">
        <v>112</v>
      </c>
      <c r="H4">
        <v>0</v>
      </c>
      <c r="I4">
        <v>60</v>
      </c>
      <c r="J4" t="s">
        <v>414</v>
      </c>
      <c r="K4" t="s">
        <v>351</v>
      </c>
    </row>
    <row r="5" spans="1:11" x14ac:dyDescent="0.3">
      <c r="A5" t="s">
        <v>401</v>
      </c>
      <c r="B5" t="s">
        <v>77</v>
      </c>
      <c r="C5">
        <v>1.5</v>
      </c>
      <c r="D5">
        <v>0.5</v>
      </c>
      <c r="E5">
        <v>0.95</v>
      </c>
      <c r="F5">
        <v>0.5</v>
      </c>
      <c r="G5">
        <v>112</v>
      </c>
      <c r="H5">
        <v>0</v>
      </c>
      <c r="I5">
        <v>60</v>
      </c>
      <c r="J5" t="s">
        <v>414</v>
      </c>
      <c r="K5" t="s">
        <v>351</v>
      </c>
    </row>
    <row r="6" spans="1:11" x14ac:dyDescent="0.3">
      <c r="A6" t="s">
        <v>402</v>
      </c>
      <c r="B6" t="s">
        <v>403</v>
      </c>
      <c r="C6">
        <v>1.5</v>
      </c>
      <c r="D6">
        <v>0.3</v>
      </c>
      <c r="E6">
        <v>0.84</v>
      </c>
      <c r="F6">
        <v>0.7</v>
      </c>
      <c r="G6">
        <v>113</v>
      </c>
      <c r="H6">
        <v>0</v>
      </c>
      <c r="I6">
        <v>60</v>
      </c>
      <c r="J6" t="s">
        <v>414</v>
      </c>
      <c r="K6" t="s">
        <v>351</v>
      </c>
    </row>
    <row r="7" spans="1:11" x14ac:dyDescent="0.3">
      <c r="A7" t="s">
        <v>404</v>
      </c>
      <c r="B7" t="s">
        <v>405</v>
      </c>
      <c r="C7">
        <v>1.5</v>
      </c>
      <c r="D7">
        <v>0.85</v>
      </c>
      <c r="E7">
        <v>0.94</v>
      </c>
      <c r="F7">
        <v>0.15</v>
      </c>
      <c r="G7">
        <v>113</v>
      </c>
      <c r="H7">
        <v>0</v>
      </c>
      <c r="I7">
        <v>60</v>
      </c>
      <c r="J7" t="s">
        <v>414</v>
      </c>
      <c r="K7" t="s">
        <v>351</v>
      </c>
    </row>
    <row r="8" spans="1:11" x14ac:dyDescent="0.3">
      <c r="A8" t="s">
        <v>406</v>
      </c>
      <c r="B8" t="s">
        <v>407</v>
      </c>
      <c r="C8">
        <v>0.6</v>
      </c>
      <c r="D8">
        <v>0.6</v>
      </c>
      <c r="E8">
        <v>0.94</v>
      </c>
      <c r="F8">
        <v>0.4</v>
      </c>
      <c r="G8">
        <v>112</v>
      </c>
      <c r="H8">
        <v>0</v>
      </c>
      <c r="I8">
        <v>60</v>
      </c>
      <c r="J8" t="s">
        <v>414</v>
      </c>
      <c r="K8" t="s">
        <v>351</v>
      </c>
    </row>
    <row r="9" spans="1:11" x14ac:dyDescent="0.3">
      <c r="A9" t="s">
        <v>415</v>
      </c>
      <c r="B9" t="s">
        <v>408</v>
      </c>
      <c r="C9">
        <v>2.5</v>
      </c>
      <c r="D9">
        <v>0.85</v>
      </c>
      <c r="E9">
        <v>0.94</v>
      </c>
      <c r="F9">
        <v>0.15</v>
      </c>
      <c r="G9">
        <v>37</v>
      </c>
      <c r="H9">
        <v>0</v>
      </c>
      <c r="I9">
        <v>60</v>
      </c>
      <c r="J9" t="s">
        <v>414</v>
      </c>
      <c r="K9" t="s">
        <v>416</v>
      </c>
    </row>
    <row r="10" spans="1:11" x14ac:dyDescent="0.3">
      <c r="A10" t="s">
        <v>417</v>
      </c>
      <c r="B10" t="s">
        <v>409</v>
      </c>
      <c r="C10">
        <v>2.5</v>
      </c>
      <c r="D10">
        <v>0.85</v>
      </c>
      <c r="E10">
        <v>0.94</v>
      </c>
      <c r="F10">
        <v>0.15</v>
      </c>
      <c r="G10">
        <v>9</v>
      </c>
      <c r="H10">
        <v>-6</v>
      </c>
      <c r="I10">
        <v>60</v>
      </c>
      <c r="J10" t="s">
        <v>414</v>
      </c>
      <c r="K10" t="s">
        <v>416</v>
      </c>
    </row>
    <row r="11" spans="1:11" x14ac:dyDescent="0.3">
      <c r="A11" t="s">
        <v>418</v>
      </c>
      <c r="B11" t="s">
        <v>410</v>
      </c>
      <c r="C11">
        <v>1.7</v>
      </c>
      <c r="D11">
        <v>0.85</v>
      </c>
      <c r="E11">
        <v>0.94</v>
      </c>
      <c r="F11">
        <v>0.15</v>
      </c>
      <c r="G11">
        <v>156</v>
      </c>
      <c r="H11">
        <v>0</v>
      </c>
      <c r="I11">
        <v>60</v>
      </c>
      <c r="J11" t="s">
        <v>414</v>
      </c>
      <c r="K11" t="s">
        <v>416</v>
      </c>
    </row>
    <row r="12" spans="1:11" x14ac:dyDescent="0.3">
      <c r="A12" t="s">
        <v>419</v>
      </c>
      <c r="B12" t="s">
        <v>411</v>
      </c>
      <c r="C12">
        <v>1.7</v>
      </c>
      <c r="D12">
        <v>0.85</v>
      </c>
      <c r="E12">
        <v>0.94</v>
      </c>
      <c r="F12">
        <v>0.15</v>
      </c>
      <c r="G12">
        <v>115</v>
      </c>
      <c r="H12">
        <v>-10</v>
      </c>
      <c r="I12">
        <v>60</v>
      </c>
      <c r="J12" t="s">
        <v>414</v>
      </c>
      <c r="K12" t="s">
        <v>416</v>
      </c>
    </row>
    <row r="13" spans="1:11" x14ac:dyDescent="0.3">
      <c r="A13" t="s">
        <v>412</v>
      </c>
      <c r="B13" t="s">
        <v>413</v>
      </c>
      <c r="C13">
        <v>0.2</v>
      </c>
      <c r="D13">
        <v>0.6</v>
      </c>
      <c r="E13">
        <v>0.94</v>
      </c>
      <c r="F13">
        <v>0.4</v>
      </c>
      <c r="G13">
        <v>0</v>
      </c>
      <c r="H13">
        <v>0</v>
      </c>
      <c r="I13">
        <v>60</v>
      </c>
      <c r="J13" t="s">
        <v>420</v>
      </c>
      <c r="K13" t="s">
        <v>420</v>
      </c>
    </row>
    <row r="14" spans="1:11" x14ac:dyDescent="0.3">
      <c r="A14" t="s">
        <v>1198</v>
      </c>
      <c r="B14" t="s">
        <v>1397</v>
      </c>
      <c r="C14">
        <v>0.49500000000000005</v>
      </c>
      <c r="D14">
        <v>0.7</v>
      </c>
      <c r="E14">
        <v>0.9</v>
      </c>
      <c r="F14">
        <v>0.3</v>
      </c>
      <c r="G14">
        <v>156</v>
      </c>
      <c r="H14">
        <v>0</v>
      </c>
      <c r="I14">
        <v>60</v>
      </c>
    </row>
    <row r="15" spans="1:11" x14ac:dyDescent="0.3">
      <c r="A15" t="s">
        <v>1199</v>
      </c>
      <c r="B15" t="s">
        <v>1398</v>
      </c>
      <c r="C15">
        <v>0.17600000000000002</v>
      </c>
      <c r="D15">
        <v>0.7</v>
      </c>
      <c r="E15">
        <v>0.9</v>
      </c>
      <c r="F15">
        <v>0.3</v>
      </c>
      <c r="G15">
        <v>156</v>
      </c>
      <c r="H15">
        <v>0</v>
      </c>
      <c r="I15">
        <v>60</v>
      </c>
    </row>
    <row r="16" spans="1:11" x14ac:dyDescent="0.3">
      <c r="A16" t="s">
        <v>1200</v>
      </c>
      <c r="B16" t="s">
        <v>1399</v>
      </c>
      <c r="C16">
        <v>0.16500000000000001</v>
      </c>
      <c r="D16">
        <v>0.7</v>
      </c>
      <c r="E16">
        <v>0.9</v>
      </c>
      <c r="F16">
        <v>0.3</v>
      </c>
      <c r="G16">
        <v>156</v>
      </c>
      <c r="H16">
        <v>0</v>
      </c>
      <c r="I16">
        <v>60</v>
      </c>
    </row>
    <row r="17" spans="1:9" x14ac:dyDescent="0.3">
      <c r="A17" t="s">
        <v>1201</v>
      </c>
      <c r="B17" t="s">
        <v>1400</v>
      </c>
      <c r="C17">
        <v>2.3100000000000005</v>
      </c>
      <c r="D17">
        <v>0.7</v>
      </c>
      <c r="E17">
        <v>0.9</v>
      </c>
      <c r="F17">
        <v>0.3</v>
      </c>
      <c r="G17">
        <v>156</v>
      </c>
      <c r="H17">
        <v>0</v>
      </c>
      <c r="I17">
        <v>60</v>
      </c>
    </row>
    <row r="18" spans="1:9" x14ac:dyDescent="0.3">
      <c r="A18" t="s">
        <v>1202</v>
      </c>
      <c r="B18" t="s">
        <v>1401</v>
      </c>
      <c r="C18">
        <v>0.16500000000000001</v>
      </c>
      <c r="D18">
        <v>0.7</v>
      </c>
      <c r="E18">
        <v>0.9</v>
      </c>
      <c r="F18">
        <v>0.3</v>
      </c>
      <c r="G18">
        <v>156</v>
      </c>
      <c r="H18">
        <v>0</v>
      </c>
      <c r="I18">
        <v>60</v>
      </c>
    </row>
    <row r="19" spans="1:9" x14ac:dyDescent="0.3">
      <c r="A19" t="s">
        <v>1203</v>
      </c>
      <c r="B19" t="s">
        <v>1402</v>
      </c>
      <c r="C19">
        <v>0.12100000000000001</v>
      </c>
      <c r="D19">
        <v>0.7</v>
      </c>
      <c r="E19">
        <v>0.9</v>
      </c>
      <c r="F19">
        <v>0.3</v>
      </c>
      <c r="G19">
        <v>156</v>
      </c>
      <c r="H19">
        <v>0</v>
      </c>
      <c r="I19">
        <v>60</v>
      </c>
    </row>
    <row r="20" spans="1:9" x14ac:dyDescent="0.3">
      <c r="A20" t="s">
        <v>1204</v>
      </c>
      <c r="B20" t="s">
        <v>1403</v>
      </c>
      <c r="C20">
        <v>0.53900000000000003</v>
      </c>
      <c r="D20">
        <v>0.7</v>
      </c>
      <c r="E20">
        <v>0.9</v>
      </c>
      <c r="F20">
        <v>0.3</v>
      </c>
      <c r="G20">
        <v>156</v>
      </c>
      <c r="H20">
        <v>0</v>
      </c>
      <c r="I20">
        <v>60</v>
      </c>
    </row>
    <row r="21" spans="1:9" x14ac:dyDescent="0.3">
      <c r="A21" t="s">
        <v>1205</v>
      </c>
      <c r="B21" t="s">
        <v>1404</v>
      </c>
      <c r="C21">
        <v>0.22000000000000003</v>
      </c>
      <c r="D21">
        <v>0.7</v>
      </c>
      <c r="E21">
        <v>0.9</v>
      </c>
      <c r="F21">
        <v>0.3</v>
      </c>
      <c r="G21">
        <v>156</v>
      </c>
      <c r="H21">
        <v>0</v>
      </c>
      <c r="I21">
        <v>60</v>
      </c>
    </row>
    <row r="22" spans="1:9" x14ac:dyDescent="0.3">
      <c r="A22" t="s">
        <v>1206</v>
      </c>
      <c r="B22" t="s">
        <v>1405</v>
      </c>
      <c r="C22">
        <v>0.15400000000000003</v>
      </c>
      <c r="D22">
        <v>0.7</v>
      </c>
      <c r="E22">
        <v>0.9</v>
      </c>
      <c r="F22">
        <v>0.3</v>
      </c>
      <c r="G22">
        <v>156</v>
      </c>
      <c r="H22">
        <v>0</v>
      </c>
      <c r="I22">
        <v>60</v>
      </c>
    </row>
    <row r="23" spans="1:9" x14ac:dyDescent="0.3">
      <c r="A23" t="s">
        <v>1207</v>
      </c>
      <c r="B23" t="s">
        <v>1406</v>
      </c>
      <c r="C23">
        <v>0.22000000000000003</v>
      </c>
      <c r="D23">
        <v>0.7</v>
      </c>
      <c r="E23">
        <v>0.9</v>
      </c>
      <c r="F23">
        <v>0.3</v>
      </c>
      <c r="G23">
        <v>156</v>
      </c>
      <c r="H23">
        <v>0</v>
      </c>
      <c r="I23">
        <v>60</v>
      </c>
    </row>
    <row r="24" spans="1:9" x14ac:dyDescent="0.3">
      <c r="A24" t="s">
        <v>1208</v>
      </c>
      <c r="B24" t="s">
        <v>1407</v>
      </c>
      <c r="C24">
        <v>0.16500000000000001</v>
      </c>
      <c r="D24">
        <v>0.7</v>
      </c>
      <c r="E24">
        <v>0.9</v>
      </c>
      <c r="F24">
        <v>0.3</v>
      </c>
      <c r="G24">
        <v>156</v>
      </c>
      <c r="H24">
        <v>0</v>
      </c>
      <c r="I24">
        <v>60</v>
      </c>
    </row>
    <row r="25" spans="1:9" x14ac:dyDescent="0.3">
      <c r="A25" t="s">
        <v>1209</v>
      </c>
      <c r="B25" t="s">
        <v>1408</v>
      </c>
      <c r="C25">
        <v>0.11000000000000001</v>
      </c>
      <c r="D25">
        <v>0.7</v>
      </c>
      <c r="E25">
        <v>0.9</v>
      </c>
      <c r="F25">
        <v>0.3</v>
      </c>
      <c r="G25">
        <v>156</v>
      </c>
      <c r="H25">
        <v>0</v>
      </c>
      <c r="I25">
        <v>60</v>
      </c>
    </row>
    <row r="26" spans="1:9" x14ac:dyDescent="0.3">
      <c r="A26" t="s">
        <v>1210</v>
      </c>
      <c r="B26" t="s">
        <v>1409</v>
      </c>
      <c r="C26">
        <v>0.27500000000000002</v>
      </c>
      <c r="D26">
        <v>0.7</v>
      </c>
      <c r="E26">
        <v>0.9</v>
      </c>
      <c r="F26">
        <v>0.3</v>
      </c>
      <c r="G26">
        <v>156</v>
      </c>
      <c r="H26">
        <v>0</v>
      </c>
      <c r="I26">
        <v>60</v>
      </c>
    </row>
    <row r="27" spans="1:9" x14ac:dyDescent="0.3">
      <c r="A27" t="s">
        <v>1211</v>
      </c>
      <c r="B27" t="s">
        <v>1410</v>
      </c>
      <c r="C27">
        <v>0.27500000000000002</v>
      </c>
      <c r="D27">
        <v>0.7</v>
      </c>
      <c r="E27">
        <v>0.9</v>
      </c>
      <c r="F27">
        <v>0.3</v>
      </c>
      <c r="G27">
        <v>156</v>
      </c>
      <c r="H27">
        <v>0</v>
      </c>
      <c r="I27">
        <v>60</v>
      </c>
    </row>
    <row r="28" spans="1:9" x14ac:dyDescent="0.3">
      <c r="A28" t="s">
        <v>1212</v>
      </c>
      <c r="B28" t="s">
        <v>1411</v>
      </c>
      <c r="C28">
        <v>0.11000000000000001</v>
      </c>
      <c r="D28">
        <v>0.7</v>
      </c>
      <c r="E28">
        <v>0.9</v>
      </c>
      <c r="F28">
        <v>0.3</v>
      </c>
      <c r="G28">
        <v>156</v>
      </c>
      <c r="H28">
        <v>0</v>
      </c>
      <c r="I28">
        <v>60</v>
      </c>
    </row>
    <row r="29" spans="1:9" x14ac:dyDescent="0.3">
      <c r="A29" t="s">
        <v>1213</v>
      </c>
      <c r="B29" t="s">
        <v>1412</v>
      </c>
      <c r="C29">
        <v>0.16500000000000001</v>
      </c>
      <c r="D29">
        <v>0.7</v>
      </c>
      <c r="E29">
        <v>0.9</v>
      </c>
      <c r="F29">
        <v>0.3</v>
      </c>
      <c r="G29">
        <v>156</v>
      </c>
      <c r="H29">
        <v>0</v>
      </c>
      <c r="I29">
        <v>60</v>
      </c>
    </row>
    <row r="30" spans="1:9" x14ac:dyDescent="0.3">
      <c r="A30" t="s">
        <v>1214</v>
      </c>
      <c r="B30" t="s">
        <v>1413</v>
      </c>
      <c r="C30">
        <v>0.11000000000000001</v>
      </c>
      <c r="D30">
        <v>0.7</v>
      </c>
      <c r="E30">
        <v>0.9</v>
      </c>
      <c r="F30">
        <v>0.3</v>
      </c>
      <c r="G30">
        <v>156</v>
      </c>
      <c r="H30">
        <v>0</v>
      </c>
      <c r="I30">
        <v>60</v>
      </c>
    </row>
    <row r="31" spans="1:9" x14ac:dyDescent="0.3">
      <c r="A31" t="s">
        <v>1215</v>
      </c>
      <c r="B31" t="s">
        <v>1414</v>
      </c>
      <c r="C31">
        <v>0.11000000000000001</v>
      </c>
      <c r="D31">
        <v>0.7</v>
      </c>
      <c r="E31">
        <v>0.9</v>
      </c>
      <c r="F31">
        <v>0.3</v>
      </c>
      <c r="G31">
        <v>156</v>
      </c>
      <c r="H31">
        <v>0</v>
      </c>
      <c r="I31">
        <v>60</v>
      </c>
    </row>
    <row r="32" spans="1:9" x14ac:dyDescent="0.3">
      <c r="A32" t="s">
        <v>1216</v>
      </c>
      <c r="B32" t="s">
        <v>1415</v>
      </c>
      <c r="C32">
        <v>0.18700000000000003</v>
      </c>
      <c r="D32">
        <v>0.7</v>
      </c>
      <c r="E32">
        <v>0.9</v>
      </c>
      <c r="F32">
        <v>0.3</v>
      </c>
      <c r="G32">
        <v>156</v>
      </c>
      <c r="H32">
        <v>0</v>
      </c>
      <c r="I32">
        <v>60</v>
      </c>
    </row>
    <row r="33" spans="1:9" x14ac:dyDescent="0.3">
      <c r="A33" t="s">
        <v>1217</v>
      </c>
      <c r="B33" t="s">
        <v>1416</v>
      </c>
      <c r="C33">
        <v>0.11000000000000001</v>
      </c>
      <c r="D33">
        <v>0.7</v>
      </c>
      <c r="E33">
        <v>0.9</v>
      </c>
      <c r="F33">
        <v>0.3</v>
      </c>
      <c r="G33">
        <v>156</v>
      </c>
      <c r="H33">
        <v>0</v>
      </c>
      <c r="I33">
        <v>60</v>
      </c>
    </row>
    <row r="34" spans="1:9" x14ac:dyDescent="0.3">
      <c r="A34" t="s">
        <v>1218</v>
      </c>
      <c r="B34" t="s">
        <v>1417</v>
      </c>
      <c r="C34">
        <v>1.1550000000000002</v>
      </c>
      <c r="D34">
        <v>0.7</v>
      </c>
      <c r="E34">
        <v>0.9</v>
      </c>
      <c r="F34">
        <v>0.3</v>
      </c>
      <c r="G34">
        <v>156</v>
      </c>
      <c r="H34">
        <v>0</v>
      </c>
      <c r="I34">
        <v>60</v>
      </c>
    </row>
    <row r="35" spans="1:9" x14ac:dyDescent="0.3">
      <c r="A35" t="s">
        <v>1219</v>
      </c>
      <c r="B35" t="s">
        <v>1418</v>
      </c>
      <c r="C35">
        <v>0.16500000000000001</v>
      </c>
      <c r="D35">
        <v>0.7</v>
      </c>
      <c r="E35">
        <v>0.9</v>
      </c>
      <c r="F35">
        <v>0.3</v>
      </c>
      <c r="G35">
        <v>156</v>
      </c>
      <c r="H35">
        <v>0</v>
      </c>
      <c r="I35">
        <v>60</v>
      </c>
    </row>
    <row r="36" spans="1:9" x14ac:dyDescent="0.3">
      <c r="A36" t="s">
        <v>1220</v>
      </c>
      <c r="B36" t="s">
        <v>1419</v>
      </c>
      <c r="C36">
        <v>0.16500000000000001</v>
      </c>
      <c r="D36">
        <v>0.7</v>
      </c>
      <c r="E36">
        <v>0.9</v>
      </c>
      <c r="F36">
        <v>0.3</v>
      </c>
      <c r="G36">
        <v>156</v>
      </c>
      <c r="H36">
        <v>0</v>
      </c>
      <c r="I36">
        <v>60</v>
      </c>
    </row>
    <row r="37" spans="1:9" x14ac:dyDescent="0.3">
      <c r="A37" t="s">
        <v>1221</v>
      </c>
      <c r="B37" t="s">
        <v>1420</v>
      </c>
      <c r="C37">
        <v>1.1550000000000002</v>
      </c>
      <c r="D37">
        <v>0.7</v>
      </c>
      <c r="E37">
        <v>0.9</v>
      </c>
      <c r="F37">
        <v>0.3</v>
      </c>
      <c r="G37">
        <v>156</v>
      </c>
      <c r="H37">
        <v>0</v>
      </c>
      <c r="I37">
        <v>60</v>
      </c>
    </row>
    <row r="38" spans="1:9" x14ac:dyDescent="0.3">
      <c r="A38" t="s">
        <v>1222</v>
      </c>
      <c r="B38" t="s">
        <v>1421</v>
      </c>
      <c r="C38">
        <v>0.22000000000000003</v>
      </c>
      <c r="D38">
        <v>0.7</v>
      </c>
      <c r="E38">
        <v>0.9</v>
      </c>
      <c r="F38">
        <v>0.3</v>
      </c>
      <c r="G38">
        <v>156</v>
      </c>
      <c r="H38">
        <v>0</v>
      </c>
      <c r="I38">
        <v>60</v>
      </c>
    </row>
    <row r="39" spans="1:9" x14ac:dyDescent="0.3">
      <c r="A39" t="s">
        <v>1223</v>
      </c>
      <c r="B39" t="s">
        <v>1422</v>
      </c>
      <c r="C39">
        <v>0.22000000000000003</v>
      </c>
      <c r="D39">
        <v>0.7</v>
      </c>
      <c r="E39">
        <v>0.9</v>
      </c>
      <c r="F39">
        <v>0.3</v>
      </c>
      <c r="G39">
        <v>156</v>
      </c>
      <c r="H39">
        <v>0</v>
      </c>
      <c r="I39">
        <v>60</v>
      </c>
    </row>
    <row r="40" spans="1:9" x14ac:dyDescent="0.3">
      <c r="A40" t="s">
        <v>1224</v>
      </c>
      <c r="B40" t="s">
        <v>1423</v>
      </c>
      <c r="C40">
        <v>1.4850000000000003</v>
      </c>
      <c r="D40">
        <v>0.7</v>
      </c>
      <c r="E40">
        <v>0.9</v>
      </c>
      <c r="F40">
        <v>0.3</v>
      </c>
      <c r="G40">
        <v>156</v>
      </c>
      <c r="H40">
        <v>0</v>
      </c>
      <c r="I40">
        <v>60</v>
      </c>
    </row>
    <row r="41" spans="1:9" x14ac:dyDescent="0.3">
      <c r="A41" t="s">
        <v>1225</v>
      </c>
      <c r="B41" t="s">
        <v>1424</v>
      </c>
      <c r="C41">
        <v>0.16500000000000001</v>
      </c>
      <c r="D41">
        <v>0.7</v>
      </c>
      <c r="E41">
        <v>0.9</v>
      </c>
      <c r="F41">
        <v>0.3</v>
      </c>
      <c r="G41">
        <v>156</v>
      </c>
      <c r="H41">
        <v>0</v>
      </c>
      <c r="I41">
        <v>60</v>
      </c>
    </row>
    <row r="42" spans="1:9" x14ac:dyDescent="0.3">
      <c r="A42" t="s">
        <v>1226</v>
      </c>
      <c r="B42" t="s">
        <v>1425</v>
      </c>
      <c r="C42">
        <v>0.11000000000000001</v>
      </c>
      <c r="D42">
        <v>0.7</v>
      </c>
      <c r="E42">
        <v>0.9</v>
      </c>
      <c r="F42">
        <v>0.3</v>
      </c>
      <c r="G42">
        <v>156</v>
      </c>
      <c r="H42">
        <v>0</v>
      </c>
      <c r="I42">
        <v>60</v>
      </c>
    </row>
    <row r="43" spans="1:9" x14ac:dyDescent="0.3">
      <c r="A43" t="s">
        <v>1227</v>
      </c>
      <c r="B43" t="s">
        <v>1426</v>
      </c>
      <c r="C43">
        <v>1.6500000000000001</v>
      </c>
      <c r="D43">
        <v>0.7</v>
      </c>
      <c r="E43">
        <v>0.9</v>
      </c>
      <c r="F43">
        <v>0.3</v>
      </c>
      <c r="G43">
        <v>156</v>
      </c>
      <c r="H43">
        <v>0</v>
      </c>
      <c r="I43">
        <v>60</v>
      </c>
    </row>
    <row r="44" spans="1:9" x14ac:dyDescent="0.3">
      <c r="A44" t="s">
        <v>1228</v>
      </c>
      <c r="B44" t="s">
        <v>1427</v>
      </c>
      <c r="C44">
        <v>0.22000000000000003</v>
      </c>
      <c r="D44">
        <v>0.7</v>
      </c>
      <c r="E44">
        <v>0.9</v>
      </c>
      <c r="F44">
        <v>0.3</v>
      </c>
      <c r="G44">
        <v>156</v>
      </c>
      <c r="H44">
        <v>0</v>
      </c>
      <c r="I44">
        <v>60</v>
      </c>
    </row>
    <row r="45" spans="1:9" x14ac:dyDescent="0.3">
      <c r="A45" t="s">
        <v>1229</v>
      </c>
      <c r="B45" t="s">
        <v>1428</v>
      </c>
      <c r="C45">
        <v>0.22000000000000003</v>
      </c>
      <c r="D45">
        <v>0.7</v>
      </c>
      <c r="E45">
        <v>0.9</v>
      </c>
      <c r="F45">
        <v>0.3</v>
      </c>
      <c r="G45">
        <v>156</v>
      </c>
      <c r="H45">
        <v>0</v>
      </c>
      <c r="I45">
        <v>60</v>
      </c>
    </row>
    <row r="46" spans="1:9" x14ac:dyDescent="0.3">
      <c r="A46" t="s">
        <v>1230</v>
      </c>
      <c r="B46" t="s">
        <v>1429</v>
      </c>
      <c r="C46">
        <v>1.298</v>
      </c>
      <c r="D46">
        <v>0.7</v>
      </c>
      <c r="E46">
        <v>0.9</v>
      </c>
      <c r="F46">
        <v>0.3</v>
      </c>
      <c r="G46">
        <v>156</v>
      </c>
      <c r="H46">
        <v>0</v>
      </c>
      <c r="I46">
        <v>60</v>
      </c>
    </row>
    <row r="47" spans="1:9" x14ac:dyDescent="0.3">
      <c r="A47" t="s">
        <v>1231</v>
      </c>
      <c r="B47" t="s">
        <v>1430</v>
      </c>
      <c r="C47">
        <v>0.22000000000000003</v>
      </c>
      <c r="D47">
        <v>0.7</v>
      </c>
      <c r="E47">
        <v>0.9</v>
      </c>
      <c r="F47">
        <v>0.3</v>
      </c>
      <c r="G47">
        <v>156</v>
      </c>
      <c r="H47">
        <v>0</v>
      </c>
      <c r="I47">
        <v>60</v>
      </c>
    </row>
    <row r="48" spans="1:9" x14ac:dyDescent="0.3">
      <c r="A48" t="s">
        <v>1232</v>
      </c>
      <c r="B48" t="s">
        <v>1431</v>
      </c>
      <c r="C48">
        <v>0.16500000000000001</v>
      </c>
      <c r="D48">
        <v>0.7</v>
      </c>
      <c r="E48">
        <v>0.9</v>
      </c>
      <c r="F48">
        <v>0.3</v>
      </c>
      <c r="G48">
        <v>156</v>
      </c>
      <c r="H48">
        <v>0</v>
      </c>
      <c r="I48">
        <v>60</v>
      </c>
    </row>
    <row r="49" spans="1:9" x14ac:dyDescent="0.3">
      <c r="A49" t="s">
        <v>1233</v>
      </c>
      <c r="B49" t="s">
        <v>1432</v>
      </c>
      <c r="C49">
        <v>0.27500000000000002</v>
      </c>
      <c r="D49">
        <v>0.7</v>
      </c>
      <c r="E49">
        <v>0.9</v>
      </c>
      <c r="F49">
        <v>0.3</v>
      </c>
      <c r="G49">
        <v>156</v>
      </c>
      <c r="H49">
        <v>0</v>
      </c>
      <c r="I49">
        <v>60</v>
      </c>
    </row>
    <row r="50" spans="1:9" x14ac:dyDescent="0.3">
      <c r="A50" t="s">
        <v>1234</v>
      </c>
      <c r="B50" t="s">
        <v>1433</v>
      </c>
      <c r="C50">
        <v>0.27500000000000002</v>
      </c>
      <c r="D50">
        <v>0.7</v>
      </c>
      <c r="E50">
        <v>0.9</v>
      </c>
      <c r="F50">
        <v>0.3</v>
      </c>
      <c r="G50">
        <v>156</v>
      </c>
      <c r="H50">
        <v>0</v>
      </c>
      <c r="I50">
        <v>60</v>
      </c>
    </row>
    <row r="51" spans="1:9" x14ac:dyDescent="0.3">
      <c r="A51" t="s">
        <v>1235</v>
      </c>
      <c r="B51" t="s">
        <v>1434</v>
      </c>
      <c r="C51">
        <v>0.16500000000000001</v>
      </c>
      <c r="D51">
        <v>0.7</v>
      </c>
      <c r="E51">
        <v>0.9</v>
      </c>
      <c r="F51">
        <v>0.3</v>
      </c>
      <c r="G51">
        <v>156</v>
      </c>
      <c r="H51">
        <v>0</v>
      </c>
      <c r="I51">
        <v>60</v>
      </c>
    </row>
    <row r="52" spans="1:9" x14ac:dyDescent="0.3">
      <c r="A52" t="s">
        <v>1236</v>
      </c>
      <c r="B52" t="s">
        <v>1435</v>
      </c>
      <c r="C52">
        <v>0.18700000000000003</v>
      </c>
      <c r="D52">
        <v>0.7</v>
      </c>
      <c r="E52">
        <v>0.9</v>
      </c>
      <c r="F52">
        <v>0.3</v>
      </c>
      <c r="G52">
        <v>156</v>
      </c>
      <c r="H52">
        <v>0</v>
      </c>
      <c r="I52">
        <v>60</v>
      </c>
    </row>
    <row r="53" spans="1:9" x14ac:dyDescent="0.3">
      <c r="A53" t="s">
        <v>1237</v>
      </c>
      <c r="B53" t="s">
        <v>1436</v>
      </c>
      <c r="C53">
        <v>8.8000000000000009E-2</v>
      </c>
      <c r="D53">
        <v>0.7</v>
      </c>
      <c r="E53">
        <v>0.9</v>
      </c>
      <c r="F53">
        <v>0.3</v>
      </c>
      <c r="G53">
        <v>156</v>
      </c>
      <c r="H53">
        <v>0</v>
      </c>
      <c r="I53">
        <v>60</v>
      </c>
    </row>
    <row r="54" spans="1:9" x14ac:dyDescent="0.3">
      <c r="A54" t="s">
        <v>1238</v>
      </c>
      <c r="B54" t="s">
        <v>1437</v>
      </c>
      <c r="C54">
        <v>0.49500000000000005</v>
      </c>
      <c r="D54">
        <v>0.7</v>
      </c>
      <c r="E54">
        <v>0.9</v>
      </c>
      <c r="F54">
        <v>0.3</v>
      </c>
      <c r="G54">
        <v>156</v>
      </c>
      <c r="H54">
        <v>0</v>
      </c>
      <c r="I54">
        <v>60</v>
      </c>
    </row>
    <row r="55" spans="1:9" x14ac:dyDescent="0.3">
      <c r="A55" t="s">
        <v>1239</v>
      </c>
      <c r="B55" t="s">
        <v>1438</v>
      </c>
      <c r="C55">
        <v>0.16500000000000001</v>
      </c>
      <c r="D55">
        <v>0.7</v>
      </c>
      <c r="E55">
        <v>0.9</v>
      </c>
      <c r="F55">
        <v>0.3</v>
      </c>
      <c r="G55">
        <v>156</v>
      </c>
      <c r="H55">
        <v>0</v>
      </c>
      <c r="I55">
        <v>60</v>
      </c>
    </row>
    <row r="56" spans="1:9" x14ac:dyDescent="0.3">
      <c r="A56" t="s">
        <v>1240</v>
      </c>
      <c r="B56" t="s">
        <v>1439</v>
      </c>
      <c r="C56">
        <v>0.16500000000000001</v>
      </c>
      <c r="D56">
        <v>0.7</v>
      </c>
      <c r="E56">
        <v>0.9</v>
      </c>
      <c r="F56">
        <v>0.3</v>
      </c>
      <c r="G56">
        <v>156</v>
      </c>
      <c r="H56">
        <v>0</v>
      </c>
      <c r="I56">
        <v>60</v>
      </c>
    </row>
    <row r="57" spans="1:9" x14ac:dyDescent="0.3">
      <c r="A57" t="s">
        <v>1241</v>
      </c>
      <c r="B57" t="s">
        <v>1440</v>
      </c>
      <c r="C57">
        <v>0.9900000000000001</v>
      </c>
      <c r="D57">
        <v>0.7</v>
      </c>
      <c r="E57">
        <v>0.9</v>
      </c>
      <c r="F57">
        <v>0.3</v>
      </c>
      <c r="G57">
        <v>156</v>
      </c>
      <c r="H57">
        <v>0</v>
      </c>
      <c r="I57">
        <v>60</v>
      </c>
    </row>
    <row r="58" spans="1:9" x14ac:dyDescent="0.3">
      <c r="A58" t="s">
        <v>1242</v>
      </c>
      <c r="B58" t="s">
        <v>1441</v>
      </c>
      <c r="C58">
        <v>0.22000000000000003</v>
      </c>
      <c r="D58">
        <v>0.7</v>
      </c>
      <c r="E58">
        <v>0.9</v>
      </c>
      <c r="F58">
        <v>0.3</v>
      </c>
      <c r="G58">
        <v>156</v>
      </c>
      <c r="H58">
        <v>0</v>
      </c>
      <c r="I58">
        <v>60</v>
      </c>
    </row>
    <row r="59" spans="1:9" x14ac:dyDescent="0.3">
      <c r="A59" t="s">
        <v>1243</v>
      </c>
      <c r="B59" t="s">
        <v>1442</v>
      </c>
      <c r="C59">
        <v>0.22000000000000003</v>
      </c>
      <c r="D59">
        <v>0.7</v>
      </c>
      <c r="E59">
        <v>0.9</v>
      </c>
      <c r="F59">
        <v>0.3</v>
      </c>
      <c r="G59">
        <v>156</v>
      </c>
      <c r="H59">
        <v>0</v>
      </c>
      <c r="I59">
        <v>60</v>
      </c>
    </row>
    <row r="60" spans="1:9" x14ac:dyDescent="0.3">
      <c r="A60" t="s">
        <v>1244</v>
      </c>
      <c r="B60" t="s">
        <v>1443</v>
      </c>
      <c r="C60">
        <v>0.9900000000000001</v>
      </c>
      <c r="D60">
        <v>0.7</v>
      </c>
      <c r="E60">
        <v>0.9</v>
      </c>
      <c r="F60">
        <v>0.3</v>
      </c>
      <c r="G60">
        <v>156</v>
      </c>
      <c r="H60">
        <v>0</v>
      </c>
      <c r="I60">
        <v>60</v>
      </c>
    </row>
    <row r="61" spans="1:9" x14ac:dyDescent="0.3">
      <c r="A61" t="s">
        <v>1245</v>
      </c>
      <c r="B61" t="s">
        <v>1444</v>
      </c>
      <c r="C61">
        <v>0.9900000000000001</v>
      </c>
      <c r="D61">
        <v>0.7</v>
      </c>
      <c r="E61">
        <v>0.9</v>
      </c>
      <c r="F61">
        <v>0.3</v>
      </c>
      <c r="G61">
        <v>156</v>
      </c>
      <c r="H61">
        <v>0</v>
      </c>
      <c r="I61">
        <v>60</v>
      </c>
    </row>
    <row r="62" spans="1:9" x14ac:dyDescent="0.3">
      <c r="A62" t="s">
        <v>1246</v>
      </c>
      <c r="B62" t="s">
        <v>1445</v>
      </c>
      <c r="C62">
        <v>0.22000000000000003</v>
      </c>
      <c r="D62">
        <v>0.7</v>
      </c>
      <c r="E62">
        <v>0.9</v>
      </c>
      <c r="F62">
        <v>0.3</v>
      </c>
      <c r="G62">
        <v>156</v>
      </c>
      <c r="H62">
        <v>0</v>
      </c>
      <c r="I62">
        <v>60</v>
      </c>
    </row>
    <row r="63" spans="1:9" x14ac:dyDescent="0.3">
      <c r="A63" t="s">
        <v>1247</v>
      </c>
      <c r="B63" t="s">
        <v>1446</v>
      </c>
      <c r="C63">
        <v>1.034</v>
      </c>
      <c r="D63">
        <v>0.7</v>
      </c>
      <c r="E63">
        <v>0.9</v>
      </c>
      <c r="F63">
        <v>0.3</v>
      </c>
      <c r="G63">
        <v>156</v>
      </c>
      <c r="H63">
        <v>0</v>
      </c>
      <c r="I63">
        <v>60</v>
      </c>
    </row>
    <row r="64" spans="1:9" x14ac:dyDescent="0.3">
      <c r="A64" t="s">
        <v>1248</v>
      </c>
      <c r="B64" t="s">
        <v>1447</v>
      </c>
      <c r="C64">
        <v>0.22000000000000003</v>
      </c>
      <c r="D64">
        <v>0.7</v>
      </c>
      <c r="E64">
        <v>0.9</v>
      </c>
      <c r="F64">
        <v>0.3</v>
      </c>
      <c r="G64">
        <v>156</v>
      </c>
      <c r="H64">
        <v>0</v>
      </c>
      <c r="I64">
        <v>60</v>
      </c>
    </row>
    <row r="65" spans="1:9" x14ac:dyDescent="0.3">
      <c r="A65" t="s">
        <v>1249</v>
      </c>
      <c r="B65" t="s">
        <v>1448</v>
      </c>
      <c r="C65">
        <v>0.22000000000000003</v>
      </c>
      <c r="D65">
        <v>0.7</v>
      </c>
      <c r="E65">
        <v>0.9</v>
      </c>
      <c r="F65">
        <v>0.3</v>
      </c>
      <c r="G65">
        <v>156</v>
      </c>
      <c r="H65">
        <v>0</v>
      </c>
      <c r="I65">
        <v>60</v>
      </c>
    </row>
    <row r="66" spans="1:9" x14ac:dyDescent="0.3">
      <c r="A66" t="s">
        <v>1250</v>
      </c>
      <c r="B66" t="s">
        <v>1449</v>
      </c>
      <c r="C66">
        <v>0.28600000000000003</v>
      </c>
      <c r="D66">
        <v>0.7</v>
      </c>
      <c r="E66">
        <v>0.9</v>
      </c>
      <c r="F66">
        <v>0.3</v>
      </c>
      <c r="G66">
        <v>156</v>
      </c>
      <c r="H66">
        <v>0</v>
      </c>
      <c r="I66">
        <v>60</v>
      </c>
    </row>
    <row r="67" spans="1:9" x14ac:dyDescent="0.3">
      <c r="A67" t="s">
        <v>1251</v>
      </c>
      <c r="B67" t="s">
        <v>1450</v>
      </c>
      <c r="C67">
        <v>0.22000000000000003</v>
      </c>
      <c r="D67">
        <v>0.7</v>
      </c>
      <c r="E67">
        <v>0.9</v>
      </c>
      <c r="F67">
        <v>0.3</v>
      </c>
      <c r="G67">
        <v>156</v>
      </c>
      <c r="H67">
        <v>0</v>
      </c>
      <c r="I67">
        <v>60</v>
      </c>
    </row>
    <row r="68" spans="1:9" x14ac:dyDescent="0.3">
      <c r="A68" t="s">
        <v>1252</v>
      </c>
      <c r="B68" t="s">
        <v>1451</v>
      </c>
      <c r="C68">
        <v>0.22000000000000003</v>
      </c>
      <c r="D68">
        <v>0.7</v>
      </c>
      <c r="E68">
        <v>0.9</v>
      </c>
      <c r="F68">
        <v>0.3</v>
      </c>
      <c r="G68">
        <v>156</v>
      </c>
      <c r="H68">
        <v>0</v>
      </c>
      <c r="I68">
        <v>60</v>
      </c>
    </row>
    <row r="69" spans="1:9" x14ac:dyDescent="0.3">
      <c r="A69" t="s">
        <v>1253</v>
      </c>
      <c r="B69" t="s">
        <v>1452</v>
      </c>
      <c r="C69">
        <v>0.35200000000000004</v>
      </c>
      <c r="D69">
        <v>0.7</v>
      </c>
      <c r="E69">
        <v>0.9</v>
      </c>
      <c r="F69">
        <v>0.3</v>
      </c>
      <c r="G69">
        <v>156</v>
      </c>
      <c r="H69">
        <v>0</v>
      </c>
      <c r="I69">
        <v>60</v>
      </c>
    </row>
    <row r="70" spans="1:9" x14ac:dyDescent="0.3">
      <c r="A70" t="s">
        <v>1254</v>
      </c>
      <c r="B70" t="s">
        <v>1453</v>
      </c>
      <c r="C70">
        <v>0.35200000000000004</v>
      </c>
      <c r="D70">
        <v>0.7</v>
      </c>
      <c r="E70">
        <v>0.9</v>
      </c>
      <c r="F70">
        <v>0.3</v>
      </c>
      <c r="G70">
        <v>156</v>
      </c>
      <c r="H70">
        <v>0</v>
      </c>
      <c r="I70">
        <v>60</v>
      </c>
    </row>
    <row r="71" spans="1:9" x14ac:dyDescent="0.3">
      <c r="A71" t="s">
        <v>1255</v>
      </c>
      <c r="B71" t="s">
        <v>1454</v>
      </c>
      <c r="C71">
        <v>0.35200000000000004</v>
      </c>
      <c r="D71">
        <v>0.7</v>
      </c>
      <c r="E71">
        <v>0.9</v>
      </c>
      <c r="F71">
        <v>0.3</v>
      </c>
      <c r="G71">
        <v>156</v>
      </c>
      <c r="H71">
        <v>0</v>
      </c>
      <c r="I71">
        <v>60</v>
      </c>
    </row>
    <row r="72" spans="1:9" x14ac:dyDescent="0.3">
      <c r="A72" t="s">
        <v>1256</v>
      </c>
      <c r="B72" t="s">
        <v>1455</v>
      </c>
      <c r="C72">
        <v>0.18700000000000003</v>
      </c>
      <c r="D72">
        <v>0.7</v>
      </c>
      <c r="E72">
        <v>0.9</v>
      </c>
      <c r="F72">
        <v>0.3</v>
      </c>
      <c r="G72">
        <v>156</v>
      </c>
      <c r="H72">
        <v>0</v>
      </c>
      <c r="I72">
        <v>60</v>
      </c>
    </row>
    <row r="73" spans="1:9" x14ac:dyDescent="0.3">
      <c r="A73" t="s">
        <v>1257</v>
      </c>
      <c r="B73" t="s">
        <v>1456</v>
      </c>
      <c r="C73">
        <v>8.8000000000000009E-2</v>
      </c>
      <c r="D73">
        <v>0.7</v>
      </c>
      <c r="E73">
        <v>0.9</v>
      </c>
      <c r="F73">
        <v>0.3</v>
      </c>
      <c r="G73">
        <v>156</v>
      </c>
      <c r="H73">
        <v>0</v>
      </c>
      <c r="I73">
        <v>60</v>
      </c>
    </row>
    <row r="74" spans="1:9" x14ac:dyDescent="0.3">
      <c r="A74" t="s">
        <v>1258</v>
      </c>
      <c r="B74" t="s">
        <v>1457</v>
      </c>
      <c r="C74">
        <v>0.56100000000000005</v>
      </c>
      <c r="D74">
        <v>0.7</v>
      </c>
      <c r="E74">
        <v>0.9</v>
      </c>
      <c r="F74">
        <v>0.3</v>
      </c>
      <c r="G74">
        <v>156</v>
      </c>
      <c r="H74">
        <v>0</v>
      </c>
      <c r="I74">
        <v>60</v>
      </c>
    </row>
    <row r="75" spans="1:9" x14ac:dyDescent="0.3">
      <c r="A75" t="s">
        <v>1259</v>
      </c>
      <c r="B75" t="s">
        <v>1458</v>
      </c>
      <c r="C75">
        <v>0.16500000000000001</v>
      </c>
      <c r="D75">
        <v>0.7</v>
      </c>
      <c r="E75">
        <v>0.9</v>
      </c>
      <c r="F75">
        <v>0.3</v>
      </c>
      <c r="G75">
        <v>156</v>
      </c>
      <c r="H75">
        <v>0</v>
      </c>
      <c r="I75">
        <v>60</v>
      </c>
    </row>
    <row r="76" spans="1:9" x14ac:dyDescent="0.3">
      <c r="A76" t="s">
        <v>1260</v>
      </c>
      <c r="B76" t="s">
        <v>1459</v>
      </c>
      <c r="C76">
        <v>0.16500000000000001</v>
      </c>
      <c r="D76">
        <v>0.7</v>
      </c>
      <c r="E76">
        <v>0.9</v>
      </c>
      <c r="F76">
        <v>0.3</v>
      </c>
      <c r="G76">
        <v>156</v>
      </c>
      <c r="H76">
        <v>0</v>
      </c>
      <c r="I76">
        <v>60</v>
      </c>
    </row>
    <row r="77" spans="1:9" x14ac:dyDescent="0.3">
      <c r="A77" t="s">
        <v>1261</v>
      </c>
      <c r="B77" t="s">
        <v>1460</v>
      </c>
      <c r="C77">
        <v>0.74800000000000011</v>
      </c>
      <c r="D77">
        <v>0.7</v>
      </c>
      <c r="E77">
        <v>0.9</v>
      </c>
      <c r="F77">
        <v>0.3</v>
      </c>
      <c r="G77">
        <v>156</v>
      </c>
      <c r="H77">
        <v>0</v>
      </c>
      <c r="I77">
        <v>60</v>
      </c>
    </row>
    <row r="78" spans="1:9" x14ac:dyDescent="0.3">
      <c r="A78" t="s">
        <v>1262</v>
      </c>
      <c r="B78" t="s">
        <v>1461</v>
      </c>
      <c r="C78">
        <v>0.22000000000000003</v>
      </c>
      <c r="D78">
        <v>0.7</v>
      </c>
      <c r="E78">
        <v>0.9</v>
      </c>
      <c r="F78">
        <v>0.3</v>
      </c>
      <c r="G78">
        <v>156</v>
      </c>
      <c r="H78">
        <v>0</v>
      </c>
      <c r="I78">
        <v>60</v>
      </c>
    </row>
    <row r="79" spans="1:9" x14ac:dyDescent="0.3">
      <c r="A79" t="s">
        <v>1263</v>
      </c>
      <c r="B79" t="s">
        <v>1462</v>
      </c>
      <c r="C79">
        <v>0.16500000000000001</v>
      </c>
      <c r="D79">
        <v>0.7</v>
      </c>
      <c r="E79">
        <v>0.9</v>
      </c>
      <c r="F79">
        <v>0.3</v>
      </c>
      <c r="G79">
        <v>156</v>
      </c>
      <c r="H79">
        <v>0</v>
      </c>
      <c r="I79">
        <v>60</v>
      </c>
    </row>
    <row r="80" spans="1:9" x14ac:dyDescent="0.3">
      <c r="A80" t="s">
        <v>1264</v>
      </c>
      <c r="B80" t="s">
        <v>1463</v>
      </c>
      <c r="C80">
        <v>0.9900000000000001</v>
      </c>
      <c r="D80">
        <v>0.7</v>
      </c>
      <c r="E80">
        <v>0.9</v>
      </c>
      <c r="F80">
        <v>0.3</v>
      </c>
      <c r="G80">
        <v>156</v>
      </c>
      <c r="H80">
        <v>0</v>
      </c>
      <c r="I80">
        <v>60</v>
      </c>
    </row>
    <row r="81" spans="1:9" x14ac:dyDescent="0.3">
      <c r="A81" t="s">
        <v>1265</v>
      </c>
      <c r="B81" t="s">
        <v>1464</v>
      </c>
      <c r="C81">
        <v>0.27500000000000002</v>
      </c>
      <c r="D81">
        <v>0.7</v>
      </c>
      <c r="E81">
        <v>0.9</v>
      </c>
      <c r="F81">
        <v>0.3</v>
      </c>
      <c r="G81">
        <v>156</v>
      </c>
      <c r="H81">
        <v>0</v>
      </c>
      <c r="I81">
        <v>60</v>
      </c>
    </row>
    <row r="82" spans="1:9" x14ac:dyDescent="0.3">
      <c r="A82" t="s">
        <v>1266</v>
      </c>
      <c r="B82" t="s">
        <v>1465</v>
      </c>
      <c r="C82">
        <v>0.16500000000000001</v>
      </c>
      <c r="D82">
        <v>0.7</v>
      </c>
      <c r="E82">
        <v>0.9</v>
      </c>
      <c r="F82">
        <v>0.3</v>
      </c>
      <c r="G82">
        <v>156</v>
      </c>
      <c r="H82">
        <v>0</v>
      </c>
      <c r="I82">
        <v>60</v>
      </c>
    </row>
    <row r="83" spans="1:9" x14ac:dyDescent="0.3">
      <c r="A83" t="s">
        <v>1267</v>
      </c>
      <c r="B83" t="s">
        <v>1466</v>
      </c>
      <c r="C83">
        <v>2.0130000000000003</v>
      </c>
      <c r="D83">
        <v>0.7</v>
      </c>
      <c r="E83">
        <v>0.9</v>
      </c>
      <c r="F83">
        <v>0.3</v>
      </c>
      <c r="G83">
        <v>156</v>
      </c>
      <c r="H83">
        <v>0</v>
      </c>
      <c r="I83">
        <v>60</v>
      </c>
    </row>
    <row r="84" spans="1:9" x14ac:dyDescent="0.3">
      <c r="A84" t="s">
        <v>1268</v>
      </c>
      <c r="B84" t="s">
        <v>1467</v>
      </c>
      <c r="C84">
        <v>0.22000000000000003</v>
      </c>
      <c r="D84">
        <v>0.7</v>
      </c>
      <c r="E84">
        <v>0.9</v>
      </c>
      <c r="F84">
        <v>0.3</v>
      </c>
      <c r="G84">
        <v>156</v>
      </c>
      <c r="H84">
        <v>0</v>
      </c>
      <c r="I84">
        <v>60</v>
      </c>
    </row>
    <row r="85" spans="1:9" x14ac:dyDescent="0.3">
      <c r="A85" t="s">
        <v>1269</v>
      </c>
      <c r="B85" t="s">
        <v>1468</v>
      </c>
      <c r="C85">
        <v>0.16500000000000001</v>
      </c>
      <c r="D85">
        <v>0.7</v>
      </c>
      <c r="E85">
        <v>0.9</v>
      </c>
      <c r="F85">
        <v>0.3</v>
      </c>
      <c r="G85">
        <v>156</v>
      </c>
      <c r="H85">
        <v>0</v>
      </c>
      <c r="I85">
        <v>60</v>
      </c>
    </row>
    <row r="86" spans="1:9" x14ac:dyDescent="0.3">
      <c r="A86" t="s">
        <v>1270</v>
      </c>
      <c r="B86" t="s">
        <v>1469</v>
      </c>
      <c r="C86">
        <v>0.44000000000000006</v>
      </c>
      <c r="D86">
        <v>0.7</v>
      </c>
      <c r="E86">
        <v>0.9</v>
      </c>
      <c r="F86">
        <v>0.3</v>
      </c>
      <c r="G86">
        <v>156</v>
      </c>
      <c r="H86">
        <v>0</v>
      </c>
      <c r="I86">
        <v>60</v>
      </c>
    </row>
    <row r="87" spans="1:9" x14ac:dyDescent="0.3">
      <c r="A87" t="s">
        <v>1271</v>
      </c>
      <c r="B87" t="s">
        <v>1470</v>
      </c>
      <c r="C87">
        <v>0.44000000000000006</v>
      </c>
      <c r="D87">
        <v>0.7</v>
      </c>
      <c r="E87">
        <v>0.9</v>
      </c>
      <c r="F87">
        <v>0.3</v>
      </c>
      <c r="G87">
        <v>156</v>
      </c>
      <c r="H87">
        <v>0</v>
      </c>
      <c r="I87">
        <v>60</v>
      </c>
    </row>
    <row r="88" spans="1:9" x14ac:dyDescent="0.3">
      <c r="A88" t="s">
        <v>1272</v>
      </c>
      <c r="B88" t="s">
        <v>1471</v>
      </c>
      <c r="C88">
        <v>0.44000000000000006</v>
      </c>
      <c r="D88">
        <v>0.7</v>
      </c>
      <c r="E88">
        <v>0.9</v>
      </c>
      <c r="F88">
        <v>0.3</v>
      </c>
      <c r="G88">
        <v>156</v>
      </c>
      <c r="H88">
        <v>0</v>
      </c>
      <c r="I88">
        <v>60</v>
      </c>
    </row>
    <row r="89" spans="1:9" x14ac:dyDescent="0.3">
      <c r="A89" t="s">
        <v>1273</v>
      </c>
      <c r="B89" t="s">
        <v>1472</v>
      </c>
      <c r="C89">
        <v>0.33</v>
      </c>
      <c r="D89">
        <v>0.7</v>
      </c>
      <c r="E89">
        <v>0.9</v>
      </c>
      <c r="F89">
        <v>0.3</v>
      </c>
      <c r="G89">
        <v>156</v>
      </c>
      <c r="H89">
        <v>0</v>
      </c>
      <c r="I89">
        <v>60</v>
      </c>
    </row>
    <row r="90" spans="1:9" x14ac:dyDescent="0.3">
      <c r="A90" t="s">
        <v>1274</v>
      </c>
      <c r="B90" t="s">
        <v>1473</v>
      </c>
      <c r="C90">
        <v>0.33</v>
      </c>
      <c r="D90">
        <v>0.7</v>
      </c>
      <c r="E90">
        <v>0.9</v>
      </c>
      <c r="F90">
        <v>0.3</v>
      </c>
      <c r="G90">
        <v>156</v>
      </c>
      <c r="H90">
        <v>0</v>
      </c>
      <c r="I90">
        <v>60</v>
      </c>
    </row>
    <row r="91" spans="1:9" x14ac:dyDescent="0.3">
      <c r="A91" t="s">
        <v>1275</v>
      </c>
      <c r="B91" t="s">
        <v>1474</v>
      </c>
      <c r="C91">
        <v>0.16500000000000001</v>
      </c>
      <c r="D91">
        <v>0.7</v>
      </c>
      <c r="E91">
        <v>0.9</v>
      </c>
      <c r="F91">
        <v>0.3</v>
      </c>
      <c r="G91">
        <v>156</v>
      </c>
      <c r="H91">
        <v>0</v>
      </c>
      <c r="I91">
        <v>60</v>
      </c>
    </row>
    <row r="92" spans="1:9" x14ac:dyDescent="0.3">
      <c r="A92" t="s">
        <v>1276</v>
      </c>
      <c r="B92" t="s">
        <v>1475</v>
      </c>
      <c r="C92">
        <v>0.22000000000000003</v>
      </c>
      <c r="D92">
        <v>0.7</v>
      </c>
      <c r="E92">
        <v>0.9</v>
      </c>
      <c r="F92">
        <v>0.3</v>
      </c>
      <c r="G92">
        <v>156</v>
      </c>
      <c r="H92">
        <v>0</v>
      </c>
      <c r="I92">
        <v>60</v>
      </c>
    </row>
    <row r="93" spans="1:9" x14ac:dyDescent="0.3">
      <c r="A93" t="s">
        <v>1277</v>
      </c>
      <c r="B93" t="s">
        <v>1476</v>
      </c>
      <c r="C93">
        <v>0.11000000000000001</v>
      </c>
      <c r="D93">
        <v>0.7</v>
      </c>
      <c r="E93">
        <v>0.9</v>
      </c>
      <c r="F93">
        <v>0.3</v>
      </c>
      <c r="G93">
        <v>156</v>
      </c>
      <c r="H93">
        <v>0</v>
      </c>
      <c r="I93">
        <v>60</v>
      </c>
    </row>
    <row r="94" spans="1:9" x14ac:dyDescent="0.3">
      <c r="A94" t="s">
        <v>1278</v>
      </c>
      <c r="B94" t="s">
        <v>923</v>
      </c>
      <c r="C94">
        <v>0.44</v>
      </c>
      <c r="D94">
        <v>0.55000000000000004</v>
      </c>
      <c r="E94">
        <v>0.91</v>
      </c>
      <c r="F94">
        <v>0.44999999999999901</v>
      </c>
      <c r="G94">
        <v>112</v>
      </c>
      <c r="H94">
        <v>0</v>
      </c>
      <c r="I94">
        <v>60</v>
      </c>
    </row>
    <row r="95" spans="1:9" x14ac:dyDescent="0.3">
      <c r="A95" t="s">
        <v>1279</v>
      </c>
      <c r="B95" t="s">
        <v>929</v>
      </c>
      <c r="C95">
        <v>0.46</v>
      </c>
      <c r="D95">
        <v>0.55000000000000004</v>
      </c>
      <c r="E95">
        <v>0.91</v>
      </c>
      <c r="F95">
        <v>0.44999999999999901</v>
      </c>
      <c r="G95">
        <v>112</v>
      </c>
      <c r="H95">
        <v>0</v>
      </c>
      <c r="I95">
        <v>60</v>
      </c>
    </row>
    <row r="96" spans="1:9" x14ac:dyDescent="0.3">
      <c r="A96" t="s">
        <v>1280</v>
      </c>
      <c r="B96" t="s">
        <v>934</v>
      </c>
      <c r="C96">
        <v>0.15</v>
      </c>
      <c r="D96">
        <v>0.55000000000000004</v>
      </c>
      <c r="E96">
        <v>0.91</v>
      </c>
      <c r="F96">
        <v>0.44999999999999901</v>
      </c>
      <c r="G96">
        <v>112</v>
      </c>
      <c r="H96">
        <v>0</v>
      </c>
      <c r="I96">
        <v>60</v>
      </c>
    </row>
    <row r="97" spans="1:9" x14ac:dyDescent="0.3">
      <c r="A97" t="s">
        <v>1281</v>
      </c>
      <c r="B97" t="s">
        <v>939</v>
      </c>
      <c r="C97">
        <v>0.42</v>
      </c>
      <c r="D97">
        <v>0.55000000000000004</v>
      </c>
      <c r="E97">
        <v>0.91</v>
      </c>
      <c r="F97">
        <v>0.44999999999999901</v>
      </c>
      <c r="G97">
        <v>112</v>
      </c>
      <c r="H97">
        <v>0</v>
      </c>
      <c r="I97">
        <v>60</v>
      </c>
    </row>
    <row r="98" spans="1:9" x14ac:dyDescent="0.3">
      <c r="A98" t="s">
        <v>1282</v>
      </c>
      <c r="B98" t="s">
        <v>944</v>
      </c>
      <c r="C98">
        <v>0.14000000000000001</v>
      </c>
      <c r="D98">
        <v>0.55000000000000004</v>
      </c>
      <c r="E98">
        <v>0.91</v>
      </c>
      <c r="F98">
        <v>0.44999999999999901</v>
      </c>
      <c r="G98">
        <v>112</v>
      </c>
      <c r="H98">
        <v>0</v>
      </c>
      <c r="I98">
        <v>60</v>
      </c>
    </row>
    <row r="99" spans="1:9" x14ac:dyDescent="0.3">
      <c r="A99" t="s">
        <v>1283</v>
      </c>
      <c r="B99" t="s">
        <v>949</v>
      </c>
      <c r="C99">
        <v>0.14000000000000001</v>
      </c>
      <c r="D99">
        <v>0.55000000000000004</v>
      </c>
      <c r="E99">
        <v>0.91</v>
      </c>
      <c r="F99">
        <v>0.44999999999999901</v>
      </c>
      <c r="G99">
        <v>112</v>
      </c>
      <c r="H99">
        <v>0</v>
      </c>
      <c r="I99">
        <v>60</v>
      </c>
    </row>
    <row r="100" spans="1:9" x14ac:dyDescent="0.3">
      <c r="A100" t="s">
        <v>1284</v>
      </c>
      <c r="B100" t="s">
        <v>954</v>
      </c>
      <c r="C100">
        <v>0.31</v>
      </c>
      <c r="D100">
        <v>0.55000000000000004</v>
      </c>
      <c r="E100">
        <v>0.91</v>
      </c>
      <c r="F100">
        <v>0.44999999999999901</v>
      </c>
      <c r="G100">
        <v>112</v>
      </c>
      <c r="H100">
        <v>0</v>
      </c>
      <c r="I100">
        <v>60</v>
      </c>
    </row>
    <row r="101" spans="1:9" x14ac:dyDescent="0.3">
      <c r="A101" t="s">
        <v>1285</v>
      </c>
      <c r="B101" t="s">
        <v>959</v>
      </c>
      <c r="C101">
        <v>0.23</v>
      </c>
      <c r="D101">
        <v>0.55000000000000004</v>
      </c>
      <c r="E101">
        <v>0.91</v>
      </c>
      <c r="F101">
        <v>0.44999999999999901</v>
      </c>
      <c r="G101">
        <v>112</v>
      </c>
      <c r="H101">
        <v>0</v>
      </c>
      <c r="I101">
        <v>60</v>
      </c>
    </row>
    <row r="102" spans="1:9" x14ac:dyDescent="0.3">
      <c r="A102" t="s">
        <v>1286</v>
      </c>
      <c r="B102" t="s">
        <v>964</v>
      </c>
      <c r="C102">
        <v>0.09</v>
      </c>
      <c r="D102">
        <v>0.55000000000000004</v>
      </c>
      <c r="E102">
        <v>0.91</v>
      </c>
      <c r="F102">
        <v>0.44999999999999901</v>
      </c>
      <c r="G102">
        <v>112</v>
      </c>
      <c r="H102">
        <v>0</v>
      </c>
      <c r="I102">
        <v>60</v>
      </c>
    </row>
    <row r="103" spans="1:9" x14ac:dyDescent="0.3">
      <c r="A103" t="s">
        <v>1287</v>
      </c>
      <c r="B103" t="s">
        <v>969</v>
      </c>
      <c r="C103">
        <v>0.47</v>
      </c>
      <c r="D103">
        <v>0.55000000000000004</v>
      </c>
      <c r="E103">
        <v>0.91</v>
      </c>
      <c r="F103">
        <v>0.44999999999999901</v>
      </c>
      <c r="G103">
        <v>112</v>
      </c>
      <c r="H103">
        <v>0</v>
      </c>
      <c r="I103">
        <v>60</v>
      </c>
    </row>
    <row r="104" spans="1:9" x14ac:dyDescent="0.3">
      <c r="A104" t="s">
        <v>1288</v>
      </c>
      <c r="B104" t="s">
        <v>974</v>
      </c>
      <c r="C104">
        <v>0.27</v>
      </c>
      <c r="D104">
        <v>0.55000000000000004</v>
      </c>
      <c r="E104">
        <v>0.91</v>
      </c>
      <c r="F104">
        <v>0.44999999999999901</v>
      </c>
      <c r="G104">
        <v>112</v>
      </c>
      <c r="H104">
        <v>0</v>
      </c>
      <c r="I104">
        <v>60</v>
      </c>
    </row>
    <row r="105" spans="1:9" x14ac:dyDescent="0.3">
      <c r="A105" t="s">
        <v>1289</v>
      </c>
      <c r="B105" t="s">
        <v>979</v>
      </c>
      <c r="C105">
        <v>0.16</v>
      </c>
      <c r="D105">
        <v>0.55000000000000004</v>
      </c>
      <c r="E105">
        <v>0.91</v>
      </c>
      <c r="F105">
        <v>0.44999999999999901</v>
      </c>
      <c r="G105">
        <v>112</v>
      </c>
      <c r="H105">
        <v>0</v>
      </c>
      <c r="I105">
        <v>60</v>
      </c>
    </row>
    <row r="106" spans="1:9" x14ac:dyDescent="0.3">
      <c r="A106" t="s">
        <v>1290</v>
      </c>
      <c r="B106" t="s">
        <v>984</v>
      </c>
      <c r="C106">
        <v>0.78</v>
      </c>
      <c r="D106">
        <v>0.55000000000000004</v>
      </c>
      <c r="E106">
        <v>0.91</v>
      </c>
      <c r="F106">
        <v>0.44999999999999901</v>
      </c>
      <c r="G106">
        <v>112</v>
      </c>
      <c r="H106">
        <v>0</v>
      </c>
      <c r="I106">
        <v>60</v>
      </c>
    </row>
    <row r="107" spans="1:9" x14ac:dyDescent="0.3">
      <c r="A107" t="s">
        <v>1291</v>
      </c>
      <c r="B107" t="s">
        <v>989</v>
      </c>
      <c r="C107">
        <v>0.35</v>
      </c>
      <c r="D107">
        <v>0.55000000000000004</v>
      </c>
      <c r="E107">
        <v>0.91</v>
      </c>
      <c r="F107">
        <v>0.44999999999999901</v>
      </c>
      <c r="G107">
        <v>112</v>
      </c>
      <c r="H107">
        <v>0</v>
      </c>
      <c r="I107">
        <v>60</v>
      </c>
    </row>
    <row r="108" spans="1:9" x14ac:dyDescent="0.3">
      <c r="A108" t="s">
        <v>1292</v>
      </c>
      <c r="B108" t="s">
        <v>994</v>
      </c>
      <c r="C108">
        <v>0.33</v>
      </c>
      <c r="D108">
        <v>0.55000000000000004</v>
      </c>
      <c r="E108">
        <v>0.91</v>
      </c>
      <c r="F108">
        <v>0.44999999999999901</v>
      </c>
      <c r="G108">
        <v>112</v>
      </c>
      <c r="H108">
        <v>0</v>
      </c>
      <c r="I108">
        <v>60</v>
      </c>
    </row>
    <row r="109" spans="1:9" x14ac:dyDescent="0.3">
      <c r="A109" t="s">
        <v>1293</v>
      </c>
      <c r="B109" t="s">
        <v>999</v>
      </c>
      <c r="C109">
        <v>0.41</v>
      </c>
      <c r="D109">
        <v>0.55000000000000004</v>
      </c>
      <c r="E109">
        <v>0.91</v>
      </c>
      <c r="F109">
        <v>0.44999999999999901</v>
      </c>
      <c r="G109">
        <v>112</v>
      </c>
      <c r="H109">
        <v>0</v>
      </c>
      <c r="I109">
        <v>60</v>
      </c>
    </row>
    <row r="110" spans="1:9" x14ac:dyDescent="0.3">
      <c r="A110" t="s">
        <v>1294</v>
      </c>
      <c r="B110" t="s">
        <v>1004</v>
      </c>
      <c r="C110">
        <v>0.38</v>
      </c>
      <c r="D110">
        <v>0.55000000000000004</v>
      </c>
      <c r="E110">
        <v>0.91</v>
      </c>
      <c r="F110">
        <v>0.44999999999999901</v>
      </c>
      <c r="G110">
        <v>112</v>
      </c>
      <c r="H110">
        <v>0</v>
      </c>
      <c r="I110">
        <v>60</v>
      </c>
    </row>
    <row r="111" spans="1:9" x14ac:dyDescent="0.3">
      <c r="A111" t="s">
        <v>1295</v>
      </c>
      <c r="B111" t="s">
        <v>1009</v>
      </c>
      <c r="C111">
        <v>0.22</v>
      </c>
      <c r="D111">
        <v>0.55000000000000004</v>
      </c>
      <c r="E111">
        <v>0.91</v>
      </c>
      <c r="F111">
        <v>0.44999999999999901</v>
      </c>
      <c r="G111">
        <v>112</v>
      </c>
      <c r="H111">
        <v>0</v>
      </c>
      <c r="I111">
        <v>60</v>
      </c>
    </row>
    <row r="112" spans="1:9" x14ac:dyDescent="0.3">
      <c r="A112" t="s">
        <v>1296</v>
      </c>
      <c r="B112" t="s">
        <v>1014</v>
      </c>
      <c r="C112">
        <v>0.8</v>
      </c>
      <c r="D112">
        <v>0.55000000000000004</v>
      </c>
      <c r="E112">
        <v>0.91</v>
      </c>
      <c r="F112">
        <v>0.44999999999999901</v>
      </c>
      <c r="G112">
        <v>112</v>
      </c>
      <c r="H112">
        <v>0</v>
      </c>
      <c r="I112">
        <v>60</v>
      </c>
    </row>
    <row r="113" spans="1:9" x14ac:dyDescent="0.3">
      <c r="A113" t="s">
        <v>1297</v>
      </c>
      <c r="B113" t="s">
        <v>1019</v>
      </c>
      <c r="C113">
        <v>0.33</v>
      </c>
      <c r="D113">
        <v>0.55000000000000004</v>
      </c>
      <c r="E113">
        <v>0.91</v>
      </c>
      <c r="F113">
        <v>0.44999999999999901</v>
      </c>
      <c r="G113">
        <v>112</v>
      </c>
      <c r="H113">
        <v>0</v>
      </c>
      <c r="I113">
        <v>60</v>
      </c>
    </row>
    <row r="114" spans="1:9" x14ac:dyDescent="0.3">
      <c r="A114" t="s">
        <v>1298</v>
      </c>
      <c r="B114" t="s">
        <v>1024</v>
      </c>
      <c r="C114">
        <v>0.18</v>
      </c>
      <c r="D114">
        <v>0.55000000000000004</v>
      </c>
      <c r="E114">
        <v>0.91</v>
      </c>
      <c r="F114">
        <v>0.44999999999999901</v>
      </c>
      <c r="G114">
        <v>112</v>
      </c>
      <c r="H114">
        <v>0</v>
      </c>
      <c r="I114">
        <v>60</v>
      </c>
    </row>
    <row r="115" spans="1:9" x14ac:dyDescent="0.3">
      <c r="A115" t="s">
        <v>1299</v>
      </c>
      <c r="B115" t="s">
        <v>1029</v>
      </c>
      <c r="C115">
        <v>0.59</v>
      </c>
      <c r="D115">
        <v>0.55000000000000004</v>
      </c>
      <c r="E115">
        <v>0.91</v>
      </c>
      <c r="F115">
        <v>0.44999999999999901</v>
      </c>
      <c r="G115">
        <v>112</v>
      </c>
      <c r="H115">
        <v>0</v>
      </c>
      <c r="I115">
        <v>60</v>
      </c>
    </row>
    <row r="116" spans="1:9" x14ac:dyDescent="0.3">
      <c r="A116" t="s">
        <v>1300</v>
      </c>
      <c r="B116" t="s">
        <v>1034</v>
      </c>
      <c r="C116">
        <v>0.27</v>
      </c>
      <c r="D116">
        <v>0.55000000000000004</v>
      </c>
      <c r="E116">
        <v>0.91</v>
      </c>
      <c r="F116">
        <v>0.44999999999999901</v>
      </c>
      <c r="G116">
        <v>112</v>
      </c>
      <c r="H116">
        <v>0</v>
      </c>
      <c r="I116">
        <v>60</v>
      </c>
    </row>
    <row r="117" spans="1:9" x14ac:dyDescent="0.3">
      <c r="A117" t="s">
        <v>1301</v>
      </c>
      <c r="B117" t="s">
        <v>1039</v>
      </c>
      <c r="C117">
        <v>0.12</v>
      </c>
      <c r="D117">
        <v>0.55000000000000004</v>
      </c>
      <c r="E117">
        <v>0.91</v>
      </c>
      <c r="F117">
        <v>0.44999999999999901</v>
      </c>
      <c r="G117">
        <v>112</v>
      </c>
      <c r="H117">
        <v>0</v>
      </c>
      <c r="I117">
        <v>60</v>
      </c>
    </row>
    <row r="118" spans="1:9" x14ac:dyDescent="0.3">
      <c r="A118" t="s">
        <v>1302</v>
      </c>
      <c r="B118" t="s">
        <v>1044</v>
      </c>
      <c r="C118">
        <v>0.22</v>
      </c>
      <c r="D118">
        <v>0.55000000000000004</v>
      </c>
      <c r="E118">
        <v>0.91</v>
      </c>
      <c r="F118">
        <v>0.44999999999999901</v>
      </c>
      <c r="G118">
        <v>112</v>
      </c>
      <c r="H118">
        <v>0</v>
      </c>
      <c r="I118">
        <v>60</v>
      </c>
    </row>
    <row r="119" spans="1:9" x14ac:dyDescent="0.3">
      <c r="A119" t="s">
        <v>1303</v>
      </c>
      <c r="B119" t="s">
        <v>1049</v>
      </c>
      <c r="C119">
        <v>0.42</v>
      </c>
      <c r="D119">
        <v>0.55000000000000004</v>
      </c>
      <c r="E119">
        <v>0.91</v>
      </c>
      <c r="F119">
        <v>0.44999999999999901</v>
      </c>
      <c r="G119">
        <v>112</v>
      </c>
      <c r="H119">
        <v>0</v>
      </c>
      <c r="I119">
        <v>60</v>
      </c>
    </row>
    <row r="120" spans="1:9" x14ac:dyDescent="0.3">
      <c r="A120" t="s">
        <v>1304</v>
      </c>
      <c r="B120" t="s">
        <v>1054</v>
      </c>
      <c r="C120">
        <v>0.18</v>
      </c>
      <c r="D120">
        <v>0.55000000000000004</v>
      </c>
      <c r="E120">
        <v>0.91</v>
      </c>
      <c r="F120">
        <v>0.44999999999999901</v>
      </c>
      <c r="G120">
        <v>112</v>
      </c>
      <c r="H120">
        <v>0</v>
      </c>
      <c r="I120">
        <v>60</v>
      </c>
    </row>
    <row r="121" spans="1:9" x14ac:dyDescent="0.3">
      <c r="A121" t="s">
        <v>1305</v>
      </c>
      <c r="B121" t="s">
        <v>1059</v>
      </c>
      <c r="C121">
        <v>0.99</v>
      </c>
      <c r="D121">
        <v>0.55000000000000004</v>
      </c>
      <c r="E121">
        <v>0.91</v>
      </c>
      <c r="F121">
        <v>0.44999999999999901</v>
      </c>
      <c r="G121">
        <v>112</v>
      </c>
      <c r="H121">
        <v>0</v>
      </c>
      <c r="I121">
        <v>60</v>
      </c>
    </row>
    <row r="122" spans="1:9" x14ac:dyDescent="0.3">
      <c r="A122" t="s">
        <v>1306</v>
      </c>
      <c r="B122" t="s">
        <v>1064</v>
      </c>
      <c r="C122">
        <v>0.22</v>
      </c>
      <c r="D122">
        <v>0.55000000000000004</v>
      </c>
      <c r="E122">
        <v>0.91</v>
      </c>
      <c r="F122">
        <v>0.44999999999999901</v>
      </c>
      <c r="G122">
        <v>112</v>
      </c>
      <c r="H122">
        <v>0</v>
      </c>
      <c r="I122">
        <v>60</v>
      </c>
    </row>
    <row r="123" spans="1:9" x14ac:dyDescent="0.3">
      <c r="A123" t="s">
        <v>1307</v>
      </c>
      <c r="B123" t="s">
        <v>1069</v>
      </c>
      <c r="C123">
        <v>0.15</v>
      </c>
      <c r="D123">
        <v>0.55000000000000004</v>
      </c>
      <c r="E123">
        <v>0.91</v>
      </c>
      <c r="F123">
        <v>0.44999999999999901</v>
      </c>
      <c r="G123">
        <v>112</v>
      </c>
      <c r="H123">
        <v>0</v>
      </c>
      <c r="I123">
        <v>60</v>
      </c>
    </row>
    <row r="124" spans="1:9" x14ac:dyDescent="0.3">
      <c r="A124" t="s">
        <v>1308</v>
      </c>
      <c r="B124" t="s">
        <v>1074</v>
      </c>
      <c r="C124">
        <v>1.76</v>
      </c>
      <c r="D124">
        <v>0.55000000000000004</v>
      </c>
      <c r="E124">
        <v>0.91</v>
      </c>
      <c r="F124">
        <v>0.44999999999999901</v>
      </c>
      <c r="G124">
        <v>112</v>
      </c>
      <c r="H124">
        <v>0</v>
      </c>
      <c r="I124">
        <v>60</v>
      </c>
    </row>
    <row r="125" spans="1:9" x14ac:dyDescent="0.3">
      <c r="A125" t="s">
        <v>1309</v>
      </c>
      <c r="B125" t="s">
        <v>1079</v>
      </c>
      <c r="C125">
        <v>0.41</v>
      </c>
      <c r="D125">
        <v>0.55000000000000004</v>
      </c>
      <c r="E125">
        <v>0.91</v>
      </c>
      <c r="F125">
        <v>0.44999999999999901</v>
      </c>
      <c r="G125">
        <v>112</v>
      </c>
      <c r="H125">
        <v>0</v>
      </c>
      <c r="I125">
        <v>60</v>
      </c>
    </row>
    <row r="126" spans="1:9" x14ac:dyDescent="0.3">
      <c r="A126" t="s">
        <v>1310</v>
      </c>
      <c r="B126" t="s">
        <v>1084</v>
      </c>
      <c r="C126">
        <v>0.15</v>
      </c>
      <c r="D126">
        <v>0.55000000000000004</v>
      </c>
      <c r="E126">
        <v>0.91</v>
      </c>
      <c r="F126">
        <v>0.44999999999999901</v>
      </c>
      <c r="G126">
        <v>112</v>
      </c>
      <c r="H126">
        <v>0</v>
      </c>
      <c r="I126">
        <v>60</v>
      </c>
    </row>
    <row r="127" spans="1:9" x14ac:dyDescent="0.3">
      <c r="A127" t="s">
        <v>1311</v>
      </c>
      <c r="B127" t="s">
        <v>1089</v>
      </c>
      <c r="C127">
        <v>0.39</v>
      </c>
      <c r="D127">
        <v>0.55000000000000004</v>
      </c>
      <c r="E127">
        <v>0.91</v>
      </c>
      <c r="F127">
        <v>0.44999999999999901</v>
      </c>
      <c r="G127">
        <v>112</v>
      </c>
      <c r="H127">
        <v>0</v>
      </c>
      <c r="I127">
        <v>60</v>
      </c>
    </row>
    <row r="128" spans="1:9" x14ac:dyDescent="0.3">
      <c r="A128" t="s">
        <v>1312</v>
      </c>
      <c r="B128" t="s">
        <v>1094</v>
      </c>
      <c r="C128">
        <v>0.37</v>
      </c>
      <c r="D128">
        <v>0.55000000000000004</v>
      </c>
      <c r="E128">
        <v>0.91</v>
      </c>
      <c r="F128">
        <v>0.44999999999999901</v>
      </c>
      <c r="G128">
        <v>112</v>
      </c>
      <c r="H128">
        <v>0</v>
      </c>
      <c r="I128">
        <v>60</v>
      </c>
    </row>
    <row r="129" spans="1:9" x14ac:dyDescent="0.3">
      <c r="A129" t="s">
        <v>1313</v>
      </c>
      <c r="B129" t="s">
        <v>1099</v>
      </c>
      <c r="C129">
        <v>0.17</v>
      </c>
      <c r="D129">
        <v>0.55000000000000004</v>
      </c>
      <c r="E129">
        <v>0.91</v>
      </c>
      <c r="F129">
        <v>0.44999999999999901</v>
      </c>
      <c r="G129">
        <v>112</v>
      </c>
      <c r="H129">
        <v>0</v>
      </c>
      <c r="I129">
        <v>60</v>
      </c>
    </row>
    <row r="130" spans="1:9" x14ac:dyDescent="0.3">
      <c r="A130" t="s">
        <v>1314</v>
      </c>
      <c r="B130" t="s">
        <v>1104</v>
      </c>
      <c r="C130">
        <v>0.63</v>
      </c>
      <c r="D130">
        <v>0.55000000000000004</v>
      </c>
      <c r="E130">
        <v>0.91</v>
      </c>
      <c r="F130">
        <v>0.44999999999999901</v>
      </c>
      <c r="G130">
        <v>112</v>
      </c>
      <c r="H130">
        <v>0</v>
      </c>
      <c r="I130">
        <v>60</v>
      </c>
    </row>
    <row r="131" spans="1:9" x14ac:dyDescent="0.3">
      <c r="A131" t="s">
        <v>1315</v>
      </c>
      <c r="B131" t="s">
        <v>1109</v>
      </c>
      <c r="C131">
        <v>0.28000000000000003</v>
      </c>
      <c r="D131">
        <v>0.55000000000000004</v>
      </c>
      <c r="E131">
        <v>0.91</v>
      </c>
      <c r="F131">
        <v>0.44999999999999901</v>
      </c>
      <c r="G131">
        <v>112</v>
      </c>
      <c r="H131">
        <v>0</v>
      </c>
      <c r="I131">
        <v>60</v>
      </c>
    </row>
    <row r="132" spans="1:9" x14ac:dyDescent="0.3">
      <c r="A132" t="s">
        <v>1316</v>
      </c>
      <c r="B132" t="s">
        <v>1114</v>
      </c>
      <c r="C132">
        <v>0.12</v>
      </c>
      <c r="D132">
        <v>0.55000000000000004</v>
      </c>
      <c r="E132">
        <v>0.91</v>
      </c>
      <c r="F132">
        <v>0.44999999999999901</v>
      </c>
      <c r="G132">
        <v>112</v>
      </c>
      <c r="H132">
        <v>0</v>
      </c>
      <c r="I132">
        <v>60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C0B42-1ABB-4008-A794-092B2C0840A0}">
  <sheetPr>
    <tabColor theme="5" tint="0.39997558519241921"/>
  </sheetPr>
  <dimension ref="A1:C5"/>
  <sheetViews>
    <sheetView workbookViewId="0"/>
  </sheetViews>
  <sheetFormatPr baseColWidth="10" defaultRowHeight="14.4" x14ac:dyDescent="0.3"/>
  <cols>
    <col min="1" max="2" width="16" customWidth="1"/>
  </cols>
  <sheetData>
    <row r="1" spans="1:3" x14ac:dyDescent="0.3">
      <c r="A1" t="s">
        <v>4</v>
      </c>
      <c r="B1" t="s">
        <v>352</v>
      </c>
      <c r="C1" t="s">
        <v>421</v>
      </c>
    </row>
    <row r="2" spans="1:3" x14ac:dyDescent="0.3">
      <c r="A2" t="s">
        <v>422</v>
      </c>
      <c r="B2" t="s">
        <v>423</v>
      </c>
      <c r="C2">
        <v>1</v>
      </c>
    </row>
    <row r="3" spans="1:3" x14ac:dyDescent="0.3">
      <c r="A3" t="s">
        <v>424</v>
      </c>
      <c r="B3" t="s">
        <v>67</v>
      </c>
      <c r="C3">
        <v>0.08</v>
      </c>
    </row>
    <row r="4" spans="1:3" x14ac:dyDescent="0.3">
      <c r="A4" t="s">
        <v>425</v>
      </c>
      <c r="B4" t="s">
        <v>47</v>
      </c>
      <c r="C4">
        <v>0.15</v>
      </c>
    </row>
    <row r="5" spans="1:3" x14ac:dyDescent="0.3">
      <c r="A5" t="s">
        <v>1557</v>
      </c>
      <c r="B5" t="s">
        <v>927</v>
      </c>
      <c r="C5">
        <v>0.6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68B46-AD4F-4E35-AF08-87939BDEB131}">
  <sheetPr>
    <tabColor theme="5" tint="0.39997558519241921"/>
  </sheetPr>
  <dimension ref="A1:C9"/>
  <sheetViews>
    <sheetView workbookViewId="0"/>
  </sheetViews>
  <sheetFormatPr baseColWidth="10" defaultRowHeight="14.4" x14ac:dyDescent="0.3"/>
  <cols>
    <col min="1" max="1" width="18.88671875" customWidth="1"/>
    <col min="2" max="2" width="19.88671875" customWidth="1"/>
  </cols>
  <sheetData>
    <row r="1" spans="1:3" x14ac:dyDescent="0.3">
      <c r="A1" t="s">
        <v>4</v>
      </c>
      <c r="B1" t="s">
        <v>352</v>
      </c>
      <c r="C1" t="s">
        <v>349</v>
      </c>
    </row>
    <row r="2" spans="1:3" x14ac:dyDescent="0.3">
      <c r="A2" t="s">
        <v>426</v>
      </c>
      <c r="B2" t="s">
        <v>84</v>
      </c>
      <c r="C2">
        <v>1</v>
      </c>
    </row>
    <row r="3" spans="1:3" x14ac:dyDescent="0.3">
      <c r="A3" t="s">
        <v>427</v>
      </c>
      <c r="B3" t="s">
        <v>76</v>
      </c>
      <c r="C3">
        <v>2</v>
      </c>
    </row>
    <row r="4" spans="1:3" x14ac:dyDescent="0.3">
      <c r="A4" t="s">
        <v>428</v>
      </c>
      <c r="B4" t="s">
        <v>40</v>
      </c>
      <c r="C4">
        <v>3</v>
      </c>
    </row>
    <row r="5" spans="1:3" x14ac:dyDescent="0.3">
      <c r="A5" t="s">
        <v>429</v>
      </c>
      <c r="B5" t="s">
        <v>430</v>
      </c>
      <c r="C5">
        <v>4</v>
      </c>
    </row>
    <row r="6" spans="1:3" x14ac:dyDescent="0.3">
      <c r="A6" t="s">
        <v>431</v>
      </c>
      <c r="B6" t="s">
        <v>432</v>
      </c>
      <c r="C6">
        <v>5</v>
      </c>
    </row>
    <row r="7" spans="1:3" x14ac:dyDescent="0.3">
      <c r="A7" t="s">
        <v>433</v>
      </c>
      <c r="B7" t="s">
        <v>434</v>
      </c>
      <c r="C7">
        <v>6</v>
      </c>
    </row>
    <row r="8" spans="1:3" x14ac:dyDescent="0.3">
      <c r="A8" t="s">
        <v>839</v>
      </c>
      <c r="B8" t="s">
        <v>838</v>
      </c>
      <c r="C8">
        <v>4.5</v>
      </c>
    </row>
    <row r="9" spans="1:3" x14ac:dyDescent="0.3">
      <c r="A9" t="s">
        <v>840</v>
      </c>
      <c r="B9" t="s">
        <v>841</v>
      </c>
      <c r="C9">
        <v>1.5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8D39A-ABC5-4184-9606-E6ECB6BAA540}">
  <sheetPr>
    <tabColor theme="5" tint="0.39997558519241921"/>
  </sheetPr>
  <dimension ref="A1:K135"/>
  <sheetViews>
    <sheetView topLeftCell="A98" workbookViewId="0">
      <selection activeCell="A17" sqref="A17:B135"/>
    </sheetView>
  </sheetViews>
  <sheetFormatPr baseColWidth="10" defaultRowHeight="14.4" x14ac:dyDescent="0.3"/>
  <sheetData>
    <row r="1" spans="1:11" x14ac:dyDescent="0.3">
      <c r="A1" t="s">
        <v>4</v>
      </c>
      <c r="B1" t="s">
        <v>352</v>
      </c>
      <c r="C1" t="s">
        <v>435</v>
      </c>
      <c r="D1" t="s">
        <v>436</v>
      </c>
      <c r="E1" t="s">
        <v>437</v>
      </c>
      <c r="F1" t="s">
        <v>438</v>
      </c>
      <c r="G1" t="s">
        <v>439</v>
      </c>
      <c r="H1" t="s">
        <v>440</v>
      </c>
      <c r="I1" t="s">
        <v>441</v>
      </c>
      <c r="J1" t="s">
        <v>395</v>
      </c>
      <c r="K1" t="s">
        <v>396</v>
      </c>
    </row>
    <row r="2" spans="1:11" x14ac:dyDescent="0.3">
      <c r="A2" t="s">
        <v>442</v>
      </c>
      <c r="B2" t="s">
        <v>443</v>
      </c>
      <c r="C2">
        <v>2</v>
      </c>
      <c r="D2">
        <v>0.68</v>
      </c>
      <c r="E2">
        <v>0.92</v>
      </c>
      <c r="F2">
        <v>0.32</v>
      </c>
      <c r="G2">
        <v>57</v>
      </c>
      <c r="H2">
        <v>0</v>
      </c>
      <c r="I2">
        <v>30</v>
      </c>
      <c r="J2" t="s">
        <v>414</v>
      </c>
      <c r="K2" t="s">
        <v>351</v>
      </c>
    </row>
    <row r="3" spans="1:11" x14ac:dyDescent="0.3">
      <c r="A3" t="s">
        <v>444</v>
      </c>
      <c r="B3" t="s">
        <v>44</v>
      </c>
      <c r="C3">
        <v>0.75</v>
      </c>
      <c r="D3">
        <v>0.6</v>
      </c>
      <c r="E3">
        <v>0.95</v>
      </c>
      <c r="F3">
        <v>0.4</v>
      </c>
      <c r="G3">
        <v>112</v>
      </c>
      <c r="H3">
        <v>0</v>
      </c>
      <c r="I3">
        <v>30</v>
      </c>
      <c r="J3" t="s">
        <v>414</v>
      </c>
      <c r="K3" t="s">
        <v>351</v>
      </c>
    </row>
    <row r="4" spans="1:11" x14ac:dyDescent="0.3">
      <c r="A4" t="s">
        <v>445</v>
      </c>
      <c r="B4" t="s">
        <v>446</v>
      </c>
      <c r="C4">
        <v>0.8</v>
      </c>
      <c r="D4">
        <v>0.3</v>
      </c>
      <c r="E4">
        <v>0.84</v>
      </c>
      <c r="F4">
        <v>0.7</v>
      </c>
      <c r="G4">
        <v>112</v>
      </c>
      <c r="H4">
        <v>0</v>
      </c>
      <c r="I4">
        <v>30</v>
      </c>
      <c r="J4" t="s">
        <v>414</v>
      </c>
      <c r="K4" t="s">
        <v>351</v>
      </c>
    </row>
    <row r="5" spans="1:11" x14ac:dyDescent="0.3">
      <c r="A5" t="s">
        <v>447</v>
      </c>
      <c r="B5" t="s">
        <v>448</v>
      </c>
      <c r="C5">
        <v>1.5</v>
      </c>
      <c r="D5">
        <v>0.65</v>
      </c>
      <c r="E5">
        <v>0.9</v>
      </c>
      <c r="F5">
        <v>0.35</v>
      </c>
      <c r="G5">
        <v>112</v>
      </c>
      <c r="H5">
        <v>0</v>
      </c>
      <c r="I5">
        <v>30</v>
      </c>
      <c r="J5" t="s">
        <v>414</v>
      </c>
      <c r="K5" t="s">
        <v>351</v>
      </c>
    </row>
    <row r="6" spans="1:11" x14ac:dyDescent="0.3">
      <c r="A6" t="s">
        <v>449</v>
      </c>
      <c r="B6" t="s">
        <v>64</v>
      </c>
      <c r="C6">
        <v>1.5</v>
      </c>
      <c r="D6">
        <v>0.85</v>
      </c>
      <c r="E6">
        <v>0.94</v>
      </c>
      <c r="F6">
        <v>0.15</v>
      </c>
      <c r="G6">
        <v>112</v>
      </c>
      <c r="H6">
        <v>0</v>
      </c>
      <c r="I6">
        <v>30</v>
      </c>
      <c r="J6" t="s">
        <v>414</v>
      </c>
      <c r="K6" t="s">
        <v>351</v>
      </c>
    </row>
    <row r="7" spans="1:11" x14ac:dyDescent="0.3">
      <c r="A7" t="s">
        <v>450</v>
      </c>
      <c r="B7" t="s">
        <v>451</v>
      </c>
      <c r="C7">
        <v>3.2</v>
      </c>
      <c r="D7">
        <v>0.6</v>
      </c>
      <c r="E7">
        <v>0.95</v>
      </c>
      <c r="F7">
        <v>0.4</v>
      </c>
      <c r="G7">
        <v>112</v>
      </c>
      <c r="H7">
        <v>0</v>
      </c>
      <c r="I7">
        <v>30</v>
      </c>
      <c r="J7" t="s">
        <v>414</v>
      </c>
      <c r="K7" t="s">
        <v>351</v>
      </c>
    </row>
    <row r="8" spans="1:11" x14ac:dyDescent="0.3">
      <c r="A8" t="s">
        <v>452</v>
      </c>
      <c r="B8" t="s">
        <v>43</v>
      </c>
      <c r="C8">
        <v>3.2</v>
      </c>
      <c r="D8">
        <v>0.6</v>
      </c>
      <c r="E8">
        <v>0.95</v>
      </c>
      <c r="F8">
        <v>0.4</v>
      </c>
      <c r="G8">
        <v>34</v>
      </c>
      <c r="H8">
        <v>0</v>
      </c>
      <c r="I8">
        <v>30</v>
      </c>
      <c r="J8" t="s">
        <v>414</v>
      </c>
      <c r="K8" t="s">
        <v>351</v>
      </c>
    </row>
    <row r="9" spans="1:11" x14ac:dyDescent="0.3">
      <c r="A9" t="s">
        <v>453</v>
      </c>
      <c r="B9" t="s">
        <v>454</v>
      </c>
      <c r="C9">
        <v>3.2</v>
      </c>
      <c r="D9">
        <v>0.6</v>
      </c>
      <c r="E9">
        <v>0.95</v>
      </c>
      <c r="F9">
        <v>0.4</v>
      </c>
      <c r="G9">
        <v>73</v>
      </c>
      <c r="H9">
        <v>0</v>
      </c>
      <c r="I9">
        <v>30</v>
      </c>
      <c r="J9" t="s">
        <v>414</v>
      </c>
      <c r="K9" t="s">
        <v>416</v>
      </c>
    </row>
    <row r="10" spans="1:11" x14ac:dyDescent="0.3">
      <c r="A10" t="s">
        <v>462</v>
      </c>
      <c r="B10" t="s">
        <v>455</v>
      </c>
      <c r="C10">
        <v>2.5</v>
      </c>
      <c r="D10">
        <v>0.3</v>
      </c>
      <c r="E10">
        <v>0.9</v>
      </c>
      <c r="F10">
        <v>0.7</v>
      </c>
      <c r="G10">
        <v>34</v>
      </c>
      <c r="H10">
        <v>0</v>
      </c>
      <c r="I10">
        <v>30</v>
      </c>
      <c r="J10" t="s">
        <v>414</v>
      </c>
      <c r="K10" t="s">
        <v>416</v>
      </c>
    </row>
    <row r="11" spans="1:11" x14ac:dyDescent="0.3">
      <c r="A11" t="s">
        <v>463</v>
      </c>
      <c r="B11" t="s">
        <v>456</v>
      </c>
      <c r="C11">
        <v>2.5</v>
      </c>
      <c r="D11">
        <v>0.3</v>
      </c>
      <c r="E11">
        <v>0.9</v>
      </c>
      <c r="F11">
        <v>0.7</v>
      </c>
      <c r="G11">
        <v>8</v>
      </c>
      <c r="H11">
        <v>-60</v>
      </c>
      <c r="I11">
        <v>30</v>
      </c>
      <c r="J11" t="s">
        <v>414</v>
      </c>
      <c r="K11" t="s">
        <v>416</v>
      </c>
    </row>
    <row r="12" spans="1:11" x14ac:dyDescent="0.3">
      <c r="A12" t="s">
        <v>464</v>
      </c>
      <c r="B12" t="s">
        <v>457</v>
      </c>
      <c r="C12">
        <v>1.7</v>
      </c>
      <c r="D12">
        <v>0.3</v>
      </c>
      <c r="E12">
        <v>0.9</v>
      </c>
      <c r="F12">
        <v>0.7</v>
      </c>
      <c r="G12">
        <v>91</v>
      </c>
      <c r="H12">
        <v>0</v>
      </c>
      <c r="I12">
        <v>30</v>
      </c>
      <c r="J12" t="s">
        <v>414</v>
      </c>
      <c r="K12" t="s">
        <v>416</v>
      </c>
    </row>
    <row r="13" spans="1:11" x14ac:dyDescent="0.3">
      <c r="A13" t="s">
        <v>465</v>
      </c>
      <c r="B13" t="s">
        <v>458</v>
      </c>
      <c r="C13">
        <v>1.7</v>
      </c>
      <c r="D13">
        <v>0.3</v>
      </c>
      <c r="E13">
        <v>0.9</v>
      </c>
      <c r="F13">
        <v>0.7</v>
      </c>
      <c r="G13">
        <v>51</v>
      </c>
      <c r="H13">
        <v>-90</v>
      </c>
      <c r="I13">
        <v>30</v>
      </c>
      <c r="J13" t="s">
        <v>414</v>
      </c>
      <c r="K13" t="s">
        <v>416</v>
      </c>
    </row>
    <row r="14" spans="1:11" x14ac:dyDescent="0.3">
      <c r="A14" t="s">
        <v>466</v>
      </c>
      <c r="B14" t="s">
        <v>459</v>
      </c>
      <c r="C14">
        <v>0.86</v>
      </c>
      <c r="D14">
        <v>0.6</v>
      </c>
      <c r="E14">
        <v>0.95</v>
      </c>
      <c r="F14">
        <v>0.4</v>
      </c>
      <c r="G14">
        <v>23</v>
      </c>
      <c r="H14">
        <v>-14</v>
      </c>
      <c r="I14">
        <v>30</v>
      </c>
      <c r="J14" t="s">
        <v>414</v>
      </c>
      <c r="K14" t="s">
        <v>416</v>
      </c>
    </row>
    <row r="15" spans="1:11" x14ac:dyDescent="0.3">
      <c r="A15" t="s">
        <v>467</v>
      </c>
      <c r="B15" t="s">
        <v>460</v>
      </c>
      <c r="C15">
        <v>0.86</v>
      </c>
      <c r="D15">
        <v>0.6</v>
      </c>
      <c r="E15">
        <v>0.95</v>
      </c>
      <c r="F15">
        <v>0.4</v>
      </c>
      <c r="G15">
        <v>14</v>
      </c>
      <c r="H15">
        <v>-30</v>
      </c>
      <c r="I15">
        <v>30</v>
      </c>
      <c r="J15" t="s">
        <v>414</v>
      </c>
      <c r="K15" t="s">
        <v>416</v>
      </c>
    </row>
    <row r="16" spans="1:11" x14ac:dyDescent="0.3">
      <c r="A16" t="s">
        <v>412</v>
      </c>
      <c r="B16" t="s">
        <v>461</v>
      </c>
      <c r="C16">
        <v>0.8</v>
      </c>
      <c r="D16">
        <v>0.3</v>
      </c>
      <c r="E16">
        <v>0.84</v>
      </c>
      <c r="F16">
        <v>0.7</v>
      </c>
      <c r="G16">
        <v>0</v>
      </c>
      <c r="H16">
        <v>0</v>
      </c>
      <c r="I16">
        <v>60</v>
      </c>
      <c r="J16" t="s">
        <v>420</v>
      </c>
      <c r="K16" t="s">
        <v>420</v>
      </c>
    </row>
    <row r="17" spans="1:9" x14ac:dyDescent="0.3">
      <c r="A17" t="s">
        <v>1198</v>
      </c>
      <c r="B17" t="s">
        <v>1317</v>
      </c>
      <c r="C17">
        <v>2.09</v>
      </c>
      <c r="D17">
        <v>0.4</v>
      </c>
      <c r="E17">
        <v>0.85</v>
      </c>
      <c r="F17">
        <v>0.4</v>
      </c>
      <c r="G17">
        <v>91</v>
      </c>
      <c r="H17">
        <v>0</v>
      </c>
      <c r="I17">
        <v>30</v>
      </c>
    </row>
    <row r="18" spans="1:9" x14ac:dyDescent="0.3">
      <c r="A18" t="s">
        <v>1199</v>
      </c>
      <c r="B18" t="s">
        <v>1318</v>
      </c>
      <c r="C18">
        <v>0.24200000000000002</v>
      </c>
      <c r="D18">
        <v>0.4</v>
      </c>
      <c r="E18">
        <v>0.85</v>
      </c>
      <c r="F18">
        <v>0.4</v>
      </c>
      <c r="G18">
        <v>91</v>
      </c>
      <c r="H18">
        <v>0</v>
      </c>
      <c r="I18">
        <v>30</v>
      </c>
    </row>
    <row r="19" spans="1:9" x14ac:dyDescent="0.3">
      <c r="A19" t="s">
        <v>1200</v>
      </c>
      <c r="B19" t="s">
        <v>1319</v>
      </c>
      <c r="C19">
        <v>0.22000000000000003</v>
      </c>
      <c r="D19">
        <v>0.4</v>
      </c>
      <c r="E19">
        <v>0.85</v>
      </c>
      <c r="F19">
        <v>0.4</v>
      </c>
      <c r="G19">
        <v>91</v>
      </c>
      <c r="H19">
        <v>0</v>
      </c>
      <c r="I19">
        <v>30</v>
      </c>
    </row>
    <row r="20" spans="1:9" x14ac:dyDescent="0.3">
      <c r="A20" t="s">
        <v>1201</v>
      </c>
      <c r="B20" t="s">
        <v>1320</v>
      </c>
      <c r="C20">
        <v>0.88000000000000012</v>
      </c>
      <c r="D20">
        <v>0.4</v>
      </c>
      <c r="E20">
        <v>0.85</v>
      </c>
      <c r="F20">
        <v>0.4</v>
      </c>
      <c r="G20">
        <v>91</v>
      </c>
      <c r="H20">
        <v>0</v>
      </c>
      <c r="I20">
        <v>30</v>
      </c>
    </row>
    <row r="21" spans="1:9" x14ac:dyDescent="0.3">
      <c r="A21" t="s">
        <v>1202</v>
      </c>
      <c r="B21" t="s">
        <v>1321</v>
      </c>
      <c r="C21">
        <v>0.22000000000000003</v>
      </c>
      <c r="D21">
        <v>0.4</v>
      </c>
      <c r="E21">
        <v>0.85</v>
      </c>
      <c r="F21">
        <v>0.4</v>
      </c>
      <c r="G21">
        <v>91</v>
      </c>
      <c r="H21">
        <v>0</v>
      </c>
      <c r="I21">
        <v>30</v>
      </c>
    </row>
    <row r="22" spans="1:9" x14ac:dyDescent="0.3">
      <c r="A22" t="s">
        <v>1203</v>
      </c>
      <c r="B22" t="s">
        <v>1322</v>
      </c>
      <c r="C22">
        <v>0.16500000000000001</v>
      </c>
      <c r="D22">
        <v>0.4</v>
      </c>
      <c r="E22">
        <v>0.85</v>
      </c>
      <c r="F22">
        <v>0.4</v>
      </c>
      <c r="G22">
        <v>91</v>
      </c>
      <c r="H22">
        <v>0</v>
      </c>
      <c r="I22">
        <v>30</v>
      </c>
    </row>
    <row r="23" spans="1:9" x14ac:dyDescent="0.3">
      <c r="A23" t="s">
        <v>1204</v>
      </c>
      <c r="B23" t="s">
        <v>1323</v>
      </c>
      <c r="C23">
        <v>1.353</v>
      </c>
      <c r="D23">
        <v>0.4</v>
      </c>
      <c r="E23">
        <v>0.85</v>
      </c>
      <c r="F23">
        <v>0.4</v>
      </c>
      <c r="G23">
        <v>91</v>
      </c>
      <c r="H23">
        <v>0</v>
      </c>
      <c r="I23">
        <v>30</v>
      </c>
    </row>
    <row r="24" spans="1:9" x14ac:dyDescent="0.3">
      <c r="A24" t="s">
        <v>1205</v>
      </c>
      <c r="B24" t="s">
        <v>1324</v>
      </c>
      <c r="C24">
        <v>0.38500000000000001</v>
      </c>
      <c r="D24">
        <v>0.4</v>
      </c>
      <c r="E24">
        <v>0.85</v>
      </c>
      <c r="F24">
        <v>0.4</v>
      </c>
      <c r="G24">
        <v>91</v>
      </c>
      <c r="H24">
        <v>0</v>
      </c>
      <c r="I24">
        <v>30</v>
      </c>
    </row>
    <row r="25" spans="1:9" x14ac:dyDescent="0.3">
      <c r="A25" t="s">
        <v>1206</v>
      </c>
      <c r="B25" t="s">
        <v>1325</v>
      </c>
      <c r="C25">
        <v>0.15400000000000003</v>
      </c>
      <c r="D25">
        <v>0.4</v>
      </c>
      <c r="E25">
        <v>0.85</v>
      </c>
      <c r="F25">
        <v>0.4</v>
      </c>
      <c r="G25">
        <v>91</v>
      </c>
      <c r="H25">
        <v>0</v>
      </c>
      <c r="I25">
        <v>30</v>
      </c>
    </row>
    <row r="26" spans="1:9" x14ac:dyDescent="0.3">
      <c r="A26" t="s">
        <v>1207</v>
      </c>
      <c r="B26" t="s">
        <v>1326</v>
      </c>
      <c r="C26">
        <v>0.9900000000000001</v>
      </c>
      <c r="D26">
        <v>0.4</v>
      </c>
      <c r="E26">
        <v>0.85</v>
      </c>
      <c r="F26">
        <v>0.4</v>
      </c>
      <c r="G26">
        <v>91</v>
      </c>
      <c r="H26">
        <v>0</v>
      </c>
      <c r="I26">
        <v>30</v>
      </c>
    </row>
    <row r="27" spans="1:9" x14ac:dyDescent="0.3">
      <c r="A27" t="s">
        <v>1208</v>
      </c>
      <c r="B27" t="s">
        <v>1327</v>
      </c>
      <c r="C27">
        <v>0.22000000000000003</v>
      </c>
      <c r="D27">
        <v>0.4</v>
      </c>
      <c r="E27">
        <v>0.85</v>
      </c>
      <c r="F27">
        <v>0.4</v>
      </c>
      <c r="G27">
        <v>91</v>
      </c>
      <c r="H27">
        <v>0</v>
      </c>
      <c r="I27">
        <v>30</v>
      </c>
    </row>
    <row r="28" spans="1:9" x14ac:dyDescent="0.3">
      <c r="A28" t="s">
        <v>1209</v>
      </c>
      <c r="B28" t="s">
        <v>1328</v>
      </c>
      <c r="C28">
        <v>0.16500000000000001</v>
      </c>
      <c r="D28">
        <v>0.4</v>
      </c>
      <c r="E28">
        <v>0.85</v>
      </c>
      <c r="F28">
        <v>0.4</v>
      </c>
      <c r="G28">
        <v>91</v>
      </c>
      <c r="H28">
        <v>0</v>
      </c>
      <c r="I28">
        <v>30</v>
      </c>
    </row>
    <row r="29" spans="1:9" x14ac:dyDescent="0.3">
      <c r="A29" t="s">
        <v>1210</v>
      </c>
      <c r="B29" t="s">
        <v>1329</v>
      </c>
      <c r="C29">
        <v>1.3640000000000001</v>
      </c>
      <c r="D29">
        <v>0.4</v>
      </c>
      <c r="E29">
        <v>0.85</v>
      </c>
      <c r="F29">
        <v>0.4</v>
      </c>
      <c r="G29">
        <v>91</v>
      </c>
      <c r="H29">
        <v>0</v>
      </c>
      <c r="I29">
        <v>30</v>
      </c>
    </row>
    <row r="30" spans="1:9" x14ac:dyDescent="0.3">
      <c r="A30" t="s">
        <v>1211</v>
      </c>
      <c r="B30" t="s">
        <v>1330</v>
      </c>
      <c r="C30">
        <v>0.22000000000000003</v>
      </c>
      <c r="D30">
        <v>0.4</v>
      </c>
      <c r="E30">
        <v>0.85</v>
      </c>
      <c r="F30">
        <v>0.4</v>
      </c>
      <c r="G30">
        <v>91</v>
      </c>
      <c r="H30">
        <v>0</v>
      </c>
      <c r="I30">
        <v>30</v>
      </c>
    </row>
    <row r="31" spans="1:9" x14ac:dyDescent="0.3">
      <c r="A31" t="s">
        <v>1212</v>
      </c>
      <c r="B31" t="s">
        <v>1331</v>
      </c>
      <c r="C31">
        <v>0.18700000000000003</v>
      </c>
      <c r="D31">
        <v>0.4</v>
      </c>
      <c r="E31">
        <v>0.85</v>
      </c>
      <c r="F31">
        <v>0.4</v>
      </c>
      <c r="G31">
        <v>91</v>
      </c>
      <c r="H31">
        <v>0</v>
      </c>
      <c r="I31">
        <v>30</v>
      </c>
    </row>
    <row r="32" spans="1:9" x14ac:dyDescent="0.3">
      <c r="A32" t="s">
        <v>1213</v>
      </c>
      <c r="B32" t="s">
        <v>1332</v>
      </c>
      <c r="C32">
        <v>0.27500000000000002</v>
      </c>
      <c r="D32">
        <v>0.4</v>
      </c>
      <c r="E32">
        <v>0.85</v>
      </c>
      <c r="F32">
        <v>0.4</v>
      </c>
      <c r="G32">
        <v>91</v>
      </c>
      <c r="H32">
        <v>0</v>
      </c>
      <c r="I32">
        <v>30</v>
      </c>
    </row>
    <row r="33" spans="1:9" x14ac:dyDescent="0.3">
      <c r="A33" t="s">
        <v>1214</v>
      </c>
      <c r="B33" t="s">
        <v>1333</v>
      </c>
      <c r="C33">
        <v>0.27500000000000002</v>
      </c>
      <c r="D33">
        <v>0.4</v>
      </c>
      <c r="E33">
        <v>0.85</v>
      </c>
      <c r="F33">
        <v>0.4</v>
      </c>
      <c r="G33">
        <v>91</v>
      </c>
      <c r="H33">
        <v>0</v>
      </c>
      <c r="I33">
        <v>30</v>
      </c>
    </row>
    <row r="34" spans="1:9" x14ac:dyDescent="0.3">
      <c r="A34" t="s">
        <v>1215</v>
      </c>
      <c r="B34" t="s">
        <v>1334</v>
      </c>
      <c r="C34">
        <v>0.22000000000000003</v>
      </c>
      <c r="D34">
        <v>0.4</v>
      </c>
      <c r="E34">
        <v>0.85</v>
      </c>
      <c r="F34">
        <v>0.4</v>
      </c>
      <c r="G34">
        <v>91</v>
      </c>
      <c r="H34">
        <v>0</v>
      </c>
      <c r="I34">
        <v>30</v>
      </c>
    </row>
    <row r="35" spans="1:9" x14ac:dyDescent="0.3">
      <c r="A35" t="s">
        <v>1216</v>
      </c>
      <c r="B35" t="s">
        <v>1335</v>
      </c>
      <c r="C35">
        <v>0.17600000000000002</v>
      </c>
      <c r="D35">
        <v>0.4</v>
      </c>
      <c r="E35">
        <v>0.85</v>
      </c>
      <c r="F35">
        <v>0.4</v>
      </c>
      <c r="G35">
        <v>91</v>
      </c>
      <c r="H35">
        <v>0</v>
      </c>
      <c r="I35">
        <v>30</v>
      </c>
    </row>
    <row r="36" spans="1:9" x14ac:dyDescent="0.3">
      <c r="A36" t="s">
        <v>1217</v>
      </c>
      <c r="B36" t="s">
        <v>1336</v>
      </c>
      <c r="C36">
        <v>8.8000000000000009E-2</v>
      </c>
      <c r="D36">
        <v>0.4</v>
      </c>
      <c r="E36">
        <v>0.85</v>
      </c>
      <c r="F36">
        <v>0.4</v>
      </c>
      <c r="G36">
        <v>91</v>
      </c>
      <c r="H36">
        <v>0</v>
      </c>
      <c r="I36">
        <v>30</v>
      </c>
    </row>
    <row r="37" spans="1:9" x14ac:dyDescent="0.3">
      <c r="A37" t="s">
        <v>1218</v>
      </c>
      <c r="B37" t="s">
        <v>1337</v>
      </c>
      <c r="C37">
        <v>1.32</v>
      </c>
      <c r="D37">
        <v>0.4</v>
      </c>
      <c r="E37">
        <v>0.85</v>
      </c>
      <c r="F37">
        <v>0.4</v>
      </c>
      <c r="G37">
        <v>91</v>
      </c>
      <c r="H37">
        <v>0</v>
      </c>
      <c r="I37">
        <v>30</v>
      </c>
    </row>
    <row r="38" spans="1:9" x14ac:dyDescent="0.3">
      <c r="A38" t="s">
        <v>1219</v>
      </c>
      <c r="B38" t="s">
        <v>1338</v>
      </c>
      <c r="C38">
        <v>0.38500000000000001</v>
      </c>
      <c r="D38">
        <v>0.4</v>
      </c>
      <c r="E38">
        <v>0.85</v>
      </c>
      <c r="F38">
        <v>0.4</v>
      </c>
      <c r="G38">
        <v>91</v>
      </c>
      <c r="H38">
        <v>0</v>
      </c>
      <c r="I38">
        <v>30</v>
      </c>
    </row>
    <row r="39" spans="1:9" x14ac:dyDescent="0.3">
      <c r="A39" t="s">
        <v>1220</v>
      </c>
      <c r="B39" t="s">
        <v>1339</v>
      </c>
      <c r="C39">
        <v>0.22000000000000003</v>
      </c>
      <c r="D39">
        <v>0.4</v>
      </c>
      <c r="E39">
        <v>0.85</v>
      </c>
      <c r="F39">
        <v>0.4</v>
      </c>
      <c r="G39">
        <v>91</v>
      </c>
      <c r="H39">
        <v>0</v>
      </c>
      <c r="I39">
        <v>30</v>
      </c>
    </row>
    <row r="40" spans="1:9" x14ac:dyDescent="0.3">
      <c r="A40" t="s">
        <v>1221</v>
      </c>
      <c r="B40" t="s">
        <v>1340</v>
      </c>
      <c r="C40">
        <v>1.32</v>
      </c>
      <c r="D40">
        <v>0.4</v>
      </c>
      <c r="E40">
        <v>0.85</v>
      </c>
      <c r="F40">
        <v>0.4</v>
      </c>
      <c r="G40">
        <v>91</v>
      </c>
      <c r="H40">
        <v>0</v>
      </c>
      <c r="I40">
        <v>30</v>
      </c>
    </row>
    <row r="41" spans="1:9" x14ac:dyDescent="0.3">
      <c r="A41" t="s">
        <v>1222</v>
      </c>
      <c r="B41" t="s">
        <v>1341</v>
      </c>
      <c r="C41">
        <v>0.38500000000000001</v>
      </c>
      <c r="D41">
        <v>0.4</v>
      </c>
      <c r="E41">
        <v>0.85</v>
      </c>
      <c r="F41">
        <v>0.4</v>
      </c>
      <c r="G41">
        <v>91</v>
      </c>
      <c r="H41">
        <v>0</v>
      </c>
      <c r="I41">
        <v>30</v>
      </c>
    </row>
    <row r="42" spans="1:9" x14ac:dyDescent="0.3">
      <c r="A42" t="s">
        <v>1223</v>
      </c>
      <c r="B42" t="s">
        <v>1342</v>
      </c>
      <c r="C42">
        <v>0.27500000000000002</v>
      </c>
      <c r="D42">
        <v>0.4</v>
      </c>
      <c r="E42">
        <v>0.85</v>
      </c>
      <c r="F42">
        <v>0.4</v>
      </c>
      <c r="G42">
        <v>91</v>
      </c>
      <c r="H42">
        <v>0</v>
      </c>
      <c r="I42">
        <v>30</v>
      </c>
    </row>
    <row r="43" spans="1:9" x14ac:dyDescent="0.3">
      <c r="A43" t="s">
        <v>1224</v>
      </c>
      <c r="B43" t="s">
        <v>1343</v>
      </c>
      <c r="C43">
        <v>1.298</v>
      </c>
      <c r="D43">
        <v>0.4</v>
      </c>
      <c r="E43">
        <v>0.85</v>
      </c>
      <c r="F43">
        <v>0.4</v>
      </c>
      <c r="G43">
        <v>91</v>
      </c>
      <c r="H43">
        <v>0</v>
      </c>
      <c r="I43">
        <v>30</v>
      </c>
    </row>
    <row r="44" spans="1:9" x14ac:dyDescent="0.3">
      <c r="A44" t="s">
        <v>1225</v>
      </c>
      <c r="B44" t="s">
        <v>1344</v>
      </c>
      <c r="C44">
        <v>0.33</v>
      </c>
      <c r="D44">
        <v>0.4</v>
      </c>
      <c r="E44">
        <v>0.85</v>
      </c>
      <c r="F44">
        <v>0.4</v>
      </c>
      <c r="G44">
        <v>91</v>
      </c>
      <c r="H44">
        <v>0</v>
      </c>
      <c r="I44">
        <v>30</v>
      </c>
    </row>
    <row r="45" spans="1:9" x14ac:dyDescent="0.3">
      <c r="A45" t="s">
        <v>1226</v>
      </c>
      <c r="B45" t="s">
        <v>1345</v>
      </c>
      <c r="C45">
        <v>0.22000000000000003</v>
      </c>
      <c r="D45">
        <v>0.4</v>
      </c>
      <c r="E45">
        <v>0.85</v>
      </c>
      <c r="F45">
        <v>0.4</v>
      </c>
      <c r="G45">
        <v>91</v>
      </c>
      <c r="H45">
        <v>0</v>
      </c>
      <c r="I45">
        <v>30</v>
      </c>
    </row>
    <row r="46" spans="1:9" x14ac:dyDescent="0.3">
      <c r="A46" t="s">
        <v>1227</v>
      </c>
      <c r="B46" t="s">
        <v>1346</v>
      </c>
      <c r="C46">
        <v>1.54</v>
      </c>
      <c r="D46">
        <v>0.4</v>
      </c>
      <c r="E46">
        <v>0.85</v>
      </c>
      <c r="F46">
        <v>0.4</v>
      </c>
      <c r="G46">
        <v>91</v>
      </c>
      <c r="H46">
        <v>0</v>
      </c>
      <c r="I46">
        <v>30</v>
      </c>
    </row>
    <row r="47" spans="1:9" x14ac:dyDescent="0.3">
      <c r="A47" t="s">
        <v>1228</v>
      </c>
      <c r="B47" t="s">
        <v>1347</v>
      </c>
      <c r="C47">
        <v>0.38500000000000001</v>
      </c>
      <c r="D47">
        <v>0.4</v>
      </c>
      <c r="E47">
        <v>0.85</v>
      </c>
      <c r="F47">
        <v>0.4</v>
      </c>
      <c r="G47">
        <v>91</v>
      </c>
      <c r="H47">
        <v>0</v>
      </c>
      <c r="I47">
        <v>30</v>
      </c>
    </row>
    <row r="48" spans="1:9" x14ac:dyDescent="0.3">
      <c r="A48" t="s">
        <v>1229</v>
      </c>
      <c r="B48" t="s">
        <v>1348</v>
      </c>
      <c r="C48">
        <v>0.38500000000000001</v>
      </c>
      <c r="D48">
        <v>0.4</v>
      </c>
      <c r="E48">
        <v>0.85</v>
      </c>
      <c r="F48">
        <v>0.4</v>
      </c>
      <c r="G48">
        <v>91</v>
      </c>
      <c r="H48">
        <v>0</v>
      </c>
      <c r="I48">
        <v>30</v>
      </c>
    </row>
    <row r="49" spans="1:9" x14ac:dyDescent="0.3">
      <c r="A49" t="s">
        <v>1230</v>
      </c>
      <c r="B49" t="s">
        <v>1349</v>
      </c>
      <c r="C49">
        <v>0.88000000000000012</v>
      </c>
      <c r="D49">
        <v>0.4</v>
      </c>
      <c r="E49">
        <v>0.85</v>
      </c>
      <c r="F49">
        <v>0.4</v>
      </c>
      <c r="G49">
        <v>91</v>
      </c>
      <c r="H49">
        <v>0</v>
      </c>
      <c r="I49">
        <v>30</v>
      </c>
    </row>
    <row r="50" spans="1:9" x14ac:dyDescent="0.3">
      <c r="A50" t="s">
        <v>1231</v>
      </c>
      <c r="B50" t="s">
        <v>1350</v>
      </c>
      <c r="C50">
        <v>0.33</v>
      </c>
      <c r="D50">
        <v>0.4</v>
      </c>
      <c r="E50">
        <v>0.85</v>
      </c>
      <c r="F50">
        <v>0.4</v>
      </c>
      <c r="G50">
        <v>91</v>
      </c>
      <c r="H50">
        <v>0</v>
      </c>
      <c r="I50">
        <v>30</v>
      </c>
    </row>
    <row r="51" spans="1:9" x14ac:dyDescent="0.3">
      <c r="A51" t="s">
        <v>1232</v>
      </c>
      <c r="B51" t="s">
        <v>1351</v>
      </c>
      <c r="C51">
        <v>0.22000000000000003</v>
      </c>
      <c r="D51">
        <v>0.4</v>
      </c>
      <c r="E51">
        <v>0.85</v>
      </c>
      <c r="F51">
        <v>0.4</v>
      </c>
      <c r="G51">
        <v>91</v>
      </c>
      <c r="H51">
        <v>0</v>
      </c>
      <c r="I51">
        <v>30</v>
      </c>
    </row>
    <row r="52" spans="1:9" x14ac:dyDescent="0.3">
      <c r="A52" t="s">
        <v>1233</v>
      </c>
      <c r="B52" t="s">
        <v>1352</v>
      </c>
      <c r="C52">
        <v>0.53900000000000003</v>
      </c>
      <c r="D52">
        <v>0.4</v>
      </c>
      <c r="E52">
        <v>0.85</v>
      </c>
      <c r="F52">
        <v>0.4</v>
      </c>
      <c r="G52">
        <v>91</v>
      </c>
      <c r="H52">
        <v>0</v>
      </c>
      <c r="I52">
        <v>30</v>
      </c>
    </row>
    <row r="53" spans="1:9" x14ac:dyDescent="0.3">
      <c r="A53" t="s">
        <v>1234</v>
      </c>
      <c r="B53" t="s">
        <v>1353</v>
      </c>
      <c r="C53">
        <v>0.38500000000000001</v>
      </c>
      <c r="D53">
        <v>0.4</v>
      </c>
      <c r="E53">
        <v>0.85</v>
      </c>
      <c r="F53">
        <v>0.4</v>
      </c>
      <c r="G53">
        <v>91</v>
      </c>
      <c r="H53">
        <v>0</v>
      </c>
      <c r="I53">
        <v>30</v>
      </c>
    </row>
    <row r="54" spans="1:9" x14ac:dyDescent="0.3">
      <c r="A54" t="s">
        <v>1235</v>
      </c>
      <c r="B54" t="s">
        <v>1354</v>
      </c>
      <c r="C54">
        <v>0.22000000000000003</v>
      </c>
      <c r="D54">
        <v>0.4</v>
      </c>
      <c r="E54">
        <v>0.85</v>
      </c>
      <c r="F54">
        <v>0.4</v>
      </c>
      <c r="G54">
        <v>91</v>
      </c>
      <c r="H54">
        <v>0</v>
      </c>
      <c r="I54">
        <v>30</v>
      </c>
    </row>
    <row r="55" spans="1:9" x14ac:dyDescent="0.3">
      <c r="A55" t="s">
        <v>1236</v>
      </c>
      <c r="B55" t="s">
        <v>1355</v>
      </c>
      <c r="C55">
        <v>0.22000000000000003</v>
      </c>
      <c r="D55">
        <v>0.4</v>
      </c>
      <c r="E55">
        <v>0.85</v>
      </c>
      <c r="F55">
        <v>0.4</v>
      </c>
      <c r="G55">
        <v>91</v>
      </c>
      <c r="H55">
        <v>0</v>
      </c>
      <c r="I55">
        <v>30</v>
      </c>
    </row>
    <row r="56" spans="1:9" x14ac:dyDescent="0.3">
      <c r="A56" t="s">
        <v>1237</v>
      </c>
      <c r="B56" t="s">
        <v>1356</v>
      </c>
      <c r="C56">
        <v>0.13200000000000001</v>
      </c>
      <c r="D56">
        <v>0.4</v>
      </c>
      <c r="E56">
        <v>0.85</v>
      </c>
      <c r="F56">
        <v>0.4</v>
      </c>
      <c r="G56">
        <v>91</v>
      </c>
      <c r="H56">
        <v>0</v>
      </c>
      <c r="I56">
        <v>30</v>
      </c>
    </row>
    <row r="57" spans="1:9" x14ac:dyDescent="0.3">
      <c r="A57" t="s">
        <v>1238</v>
      </c>
      <c r="B57" t="s">
        <v>1357</v>
      </c>
      <c r="C57">
        <v>1.54</v>
      </c>
      <c r="D57">
        <v>0.4</v>
      </c>
      <c r="E57">
        <v>0.85</v>
      </c>
      <c r="F57">
        <v>0.4</v>
      </c>
      <c r="G57">
        <v>91</v>
      </c>
      <c r="H57">
        <v>0</v>
      </c>
      <c r="I57">
        <v>30</v>
      </c>
    </row>
    <row r="58" spans="1:9" x14ac:dyDescent="0.3">
      <c r="A58" t="s">
        <v>1239</v>
      </c>
      <c r="B58" t="s">
        <v>1358</v>
      </c>
      <c r="C58">
        <v>0.33</v>
      </c>
      <c r="D58">
        <v>0.4</v>
      </c>
      <c r="E58">
        <v>0.85</v>
      </c>
      <c r="F58">
        <v>0.4</v>
      </c>
      <c r="G58">
        <v>91</v>
      </c>
      <c r="H58">
        <v>0</v>
      </c>
      <c r="I58">
        <v>30</v>
      </c>
    </row>
    <row r="59" spans="1:9" x14ac:dyDescent="0.3">
      <c r="A59" t="s">
        <v>1240</v>
      </c>
      <c r="B59" t="s">
        <v>1359</v>
      </c>
      <c r="C59">
        <v>0.27500000000000002</v>
      </c>
      <c r="D59">
        <v>0.4</v>
      </c>
      <c r="E59">
        <v>0.85</v>
      </c>
      <c r="F59">
        <v>0.4</v>
      </c>
      <c r="G59">
        <v>91</v>
      </c>
      <c r="H59">
        <v>0</v>
      </c>
      <c r="I59">
        <v>30</v>
      </c>
    </row>
    <row r="60" spans="1:9" x14ac:dyDescent="0.3">
      <c r="A60" t="s">
        <v>1241</v>
      </c>
      <c r="B60" t="s">
        <v>1360</v>
      </c>
      <c r="C60">
        <v>1.54</v>
      </c>
      <c r="D60">
        <v>0.4</v>
      </c>
      <c r="E60">
        <v>0.85</v>
      </c>
      <c r="F60">
        <v>0.4</v>
      </c>
      <c r="G60">
        <v>91</v>
      </c>
      <c r="H60">
        <v>0</v>
      </c>
      <c r="I60">
        <v>30</v>
      </c>
    </row>
    <row r="61" spans="1:9" x14ac:dyDescent="0.3">
      <c r="A61" t="s">
        <v>1242</v>
      </c>
      <c r="B61" t="s">
        <v>1361</v>
      </c>
      <c r="C61">
        <v>0.38500000000000001</v>
      </c>
      <c r="D61">
        <v>0.4</v>
      </c>
      <c r="E61">
        <v>0.85</v>
      </c>
      <c r="F61">
        <v>0.4</v>
      </c>
      <c r="G61">
        <v>91</v>
      </c>
      <c r="H61">
        <v>0</v>
      </c>
      <c r="I61">
        <v>30</v>
      </c>
    </row>
    <row r="62" spans="1:9" x14ac:dyDescent="0.3">
      <c r="A62" t="s">
        <v>1243</v>
      </c>
      <c r="B62" t="s">
        <v>1362</v>
      </c>
      <c r="C62">
        <v>0.22000000000000003</v>
      </c>
      <c r="D62">
        <v>0.4</v>
      </c>
      <c r="E62">
        <v>0.85</v>
      </c>
      <c r="F62">
        <v>0.4</v>
      </c>
      <c r="G62">
        <v>91</v>
      </c>
      <c r="H62">
        <v>0</v>
      </c>
      <c r="I62">
        <v>30</v>
      </c>
    </row>
    <row r="63" spans="1:9" x14ac:dyDescent="0.3">
      <c r="A63" t="s">
        <v>1244</v>
      </c>
      <c r="B63" t="s">
        <v>1363</v>
      </c>
      <c r="C63">
        <v>1.32</v>
      </c>
      <c r="D63">
        <v>0.4</v>
      </c>
      <c r="E63">
        <v>0.85</v>
      </c>
      <c r="F63">
        <v>0.4</v>
      </c>
      <c r="G63">
        <v>91</v>
      </c>
      <c r="H63">
        <v>0</v>
      </c>
      <c r="I63">
        <v>30</v>
      </c>
    </row>
    <row r="64" spans="1:9" x14ac:dyDescent="0.3">
      <c r="A64" t="s">
        <v>1245</v>
      </c>
      <c r="B64" t="s">
        <v>1364</v>
      </c>
      <c r="C64">
        <v>0.38500000000000001</v>
      </c>
      <c r="D64">
        <v>0.4</v>
      </c>
      <c r="E64">
        <v>0.85</v>
      </c>
      <c r="F64">
        <v>0.4</v>
      </c>
      <c r="G64">
        <v>91</v>
      </c>
      <c r="H64">
        <v>0</v>
      </c>
      <c r="I64">
        <v>30</v>
      </c>
    </row>
    <row r="65" spans="1:9" x14ac:dyDescent="0.3">
      <c r="A65" t="s">
        <v>1246</v>
      </c>
      <c r="B65" t="s">
        <v>1365</v>
      </c>
      <c r="C65">
        <v>0.38500000000000001</v>
      </c>
      <c r="D65">
        <v>0.4</v>
      </c>
      <c r="E65">
        <v>0.85</v>
      </c>
      <c r="F65">
        <v>0.4</v>
      </c>
      <c r="G65">
        <v>91</v>
      </c>
      <c r="H65">
        <v>0</v>
      </c>
      <c r="I65">
        <v>30</v>
      </c>
    </row>
    <row r="66" spans="1:9" x14ac:dyDescent="0.3">
      <c r="A66" t="s">
        <v>1247</v>
      </c>
      <c r="B66" t="s">
        <v>1366</v>
      </c>
      <c r="C66">
        <v>1.4410000000000003</v>
      </c>
      <c r="D66">
        <v>0.4</v>
      </c>
      <c r="E66">
        <v>0.85</v>
      </c>
      <c r="F66">
        <v>0.4</v>
      </c>
      <c r="G66">
        <v>91</v>
      </c>
      <c r="H66">
        <v>0</v>
      </c>
      <c r="I66">
        <v>30</v>
      </c>
    </row>
    <row r="67" spans="1:9" x14ac:dyDescent="0.3">
      <c r="A67" t="s">
        <v>1248</v>
      </c>
      <c r="B67" t="s">
        <v>1367</v>
      </c>
      <c r="C67">
        <v>0.38500000000000001</v>
      </c>
      <c r="D67">
        <v>0.4</v>
      </c>
      <c r="E67">
        <v>0.85</v>
      </c>
      <c r="F67">
        <v>0.4</v>
      </c>
      <c r="G67">
        <v>91</v>
      </c>
      <c r="H67">
        <v>0</v>
      </c>
      <c r="I67">
        <v>30</v>
      </c>
    </row>
    <row r="68" spans="1:9" x14ac:dyDescent="0.3">
      <c r="A68" t="s">
        <v>1249</v>
      </c>
      <c r="B68" t="s">
        <v>1368</v>
      </c>
      <c r="C68">
        <v>0.16500000000000001</v>
      </c>
      <c r="D68">
        <v>0.4</v>
      </c>
      <c r="E68">
        <v>0.85</v>
      </c>
      <c r="F68">
        <v>0.4</v>
      </c>
      <c r="G68">
        <v>91</v>
      </c>
      <c r="H68">
        <v>0</v>
      </c>
      <c r="I68">
        <v>30</v>
      </c>
    </row>
    <row r="69" spans="1:9" x14ac:dyDescent="0.3">
      <c r="A69" t="s">
        <v>1250</v>
      </c>
      <c r="B69" t="s">
        <v>1369</v>
      </c>
      <c r="C69">
        <v>0.55000000000000004</v>
      </c>
      <c r="D69">
        <v>0.4</v>
      </c>
      <c r="E69">
        <v>0.85</v>
      </c>
      <c r="F69">
        <v>0.4</v>
      </c>
      <c r="G69">
        <v>91</v>
      </c>
      <c r="H69">
        <v>0</v>
      </c>
      <c r="I69">
        <v>30</v>
      </c>
    </row>
    <row r="70" spans="1:9" x14ac:dyDescent="0.3">
      <c r="A70" t="s">
        <v>1251</v>
      </c>
      <c r="B70" t="s">
        <v>1370</v>
      </c>
      <c r="C70">
        <v>0.55000000000000004</v>
      </c>
      <c r="D70">
        <v>0.4</v>
      </c>
      <c r="E70">
        <v>0.85</v>
      </c>
      <c r="F70">
        <v>0.4</v>
      </c>
      <c r="G70">
        <v>91</v>
      </c>
      <c r="H70">
        <v>0</v>
      </c>
      <c r="I70">
        <v>30</v>
      </c>
    </row>
    <row r="71" spans="1:9" x14ac:dyDescent="0.3">
      <c r="A71" t="s">
        <v>1252</v>
      </c>
      <c r="B71" t="s">
        <v>1371</v>
      </c>
      <c r="C71">
        <v>0.55000000000000004</v>
      </c>
      <c r="D71">
        <v>0.4</v>
      </c>
      <c r="E71">
        <v>0.85</v>
      </c>
      <c r="F71">
        <v>0.4</v>
      </c>
      <c r="G71">
        <v>91</v>
      </c>
      <c r="H71">
        <v>0</v>
      </c>
      <c r="I71">
        <v>30</v>
      </c>
    </row>
    <row r="72" spans="1:9" x14ac:dyDescent="0.3">
      <c r="A72" t="s">
        <v>1253</v>
      </c>
      <c r="B72" t="s">
        <v>1372</v>
      </c>
      <c r="C72">
        <v>0.6160000000000001</v>
      </c>
      <c r="D72">
        <v>0.4</v>
      </c>
      <c r="E72">
        <v>0.85</v>
      </c>
      <c r="F72">
        <v>0.4</v>
      </c>
      <c r="G72">
        <v>91</v>
      </c>
      <c r="H72">
        <v>0</v>
      </c>
      <c r="I72">
        <v>30</v>
      </c>
    </row>
    <row r="73" spans="1:9" x14ac:dyDescent="0.3">
      <c r="A73" t="s">
        <v>1254</v>
      </c>
      <c r="B73" t="s">
        <v>1373</v>
      </c>
      <c r="C73">
        <v>0.27500000000000002</v>
      </c>
      <c r="D73">
        <v>0.4</v>
      </c>
      <c r="E73">
        <v>0.85</v>
      </c>
      <c r="F73">
        <v>0.4</v>
      </c>
      <c r="G73">
        <v>91</v>
      </c>
      <c r="H73">
        <v>0</v>
      </c>
      <c r="I73">
        <v>30</v>
      </c>
    </row>
    <row r="74" spans="1:9" x14ac:dyDescent="0.3">
      <c r="A74" t="s">
        <v>1255</v>
      </c>
      <c r="B74" t="s">
        <v>1374</v>
      </c>
      <c r="C74">
        <v>0.22000000000000003</v>
      </c>
      <c r="D74">
        <v>0.4</v>
      </c>
      <c r="E74">
        <v>0.85</v>
      </c>
      <c r="F74">
        <v>0.4</v>
      </c>
      <c r="G74">
        <v>91</v>
      </c>
      <c r="H74">
        <v>0</v>
      </c>
      <c r="I74">
        <v>30</v>
      </c>
    </row>
    <row r="75" spans="1:9" x14ac:dyDescent="0.3">
      <c r="A75" t="s">
        <v>1256</v>
      </c>
      <c r="B75" t="s">
        <v>1375</v>
      </c>
      <c r="C75">
        <v>0.17600000000000002</v>
      </c>
      <c r="D75">
        <v>0.4</v>
      </c>
      <c r="E75">
        <v>0.85</v>
      </c>
      <c r="F75">
        <v>0.4</v>
      </c>
      <c r="G75">
        <v>91</v>
      </c>
      <c r="H75">
        <v>0</v>
      </c>
      <c r="I75">
        <v>30</v>
      </c>
    </row>
    <row r="76" spans="1:9" x14ac:dyDescent="0.3">
      <c r="A76" t="s">
        <v>1257</v>
      </c>
      <c r="B76" t="s">
        <v>1376</v>
      </c>
      <c r="C76">
        <v>0.11000000000000001</v>
      </c>
      <c r="D76">
        <v>0.4</v>
      </c>
      <c r="E76">
        <v>0.85</v>
      </c>
      <c r="F76">
        <v>0.4</v>
      </c>
      <c r="G76">
        <v>91</v>
      </c>
      <c r="H76">
        <v>0</v>
      </c>
      <c r="I76">
        <v>30</v>
      </c>
    </row>
    <row r="77" spans="1:9" x14ac:dyDescent="0.3">
      <c r="A77" t="s">
        <v>1258</v>
      </c>
      <c r="B77" t="s">
        <v>1377</v>
      </c>
      <c r="C77">
        <v>1.2100000000000002</v>
      </c>
      <c r="D77">
        <v>0.4</v>
      </c>
      <c r="E77">
        <v>0.85</v>
      </c>
      <c r="F77">
        <v>0.4</v>
      </c>
      <c r="G77">
        <v>91</v>
      </c>
      <c r="H77">
        <v>0</v>
      </c>
      <c r="I77">
        <v>30</v>
      </c>
    </row>
    <row r="78" spans="1:9" x14ac:dyDescent="0.3">
      <c r="A78" t="s">
        <v>1259</v>
      </c>
      <c r="B78" t="s">
        <v>1378</v>
      </c>
      <c r="C78">
        <v>0.33</v>
      </c>
      <c r="D78">
        <v>0.4</v>
      </c>
      <c r="E78">
        <v>0.85</v>
      </c>
      <c r="F78">
        <v>0.4</v>
      </c>
      <c r="G78">
        <v>91</v>
      </c>
      <c r="H78">
        <v>0</v>
      </c>
      <c r="I78">
        <v>30</v>
      </c>
    </row>
    <row r="79" spans="1:9" x14ac:dyDescent="0.3">
      <c r="A79" t="s">
        <v>1260</v>
      </c>
      <c r="B79" t="s">
        <v>1379</v>
      </c>
      <c r="C79">
        <v>0.27500000000000002</v>
      </c>
      <c r="D79">
        <v>0.4</v>
      </c>
      <c r="E79">
        <v>0.85</v>
      </c>
      <c r="F79">
        <v>0.4</v>
      </c>
      <c r="G79">
        <v>91</v>
      </c>
      <c r="H79">
        <v>0</v>
      </c>
      <c r="I79">
        <v>30</v>
      </c>
    </row>
    <row r="80" spans="1:9" x14ac:dyDescent="0.3">
      <c r="A80" t="s">
        <v>1261</v>
      </c>
      <c r="B80" t="s">
        <v>1380</v>
      </c>
      <c r="C80">
        <v>1.276</v>
      </c>
      <c r="D80">
        <v>0.4</v>
      </c>
      <c r="E80">
        <v>0.85</v>
      </c>
      <c r="F80">
        <v>0.4</v>
      </c>
      <c r="G80">
        <v>91</v>
      </c>
      <c r="H80">
        <v>0</v>
      </c>
      <c r="I80">
        <v>30</v>
      </c>
    </row>
    <row r="81" spans="1:9" x14ac:dyDescent="0.3">
      <c r="A81" t="s">
        <v>1262</v>
      </c>
      <c r="B81" t="s">
        <v>1381</v>
      </c>
      <c r="C81">
        <v>0.33</v>
      </c>
      <c r="D81">
        <v>0.4</v>
      </c>
      <c r="E81">
        <v>0.85</v>
      </c>
      <c r="F81">
        <v>0.4</v>
      </c>
      <c r="G81">
        <v>91</v>
      </c>
      <c r="H81">
        <v>0</v>
      </c>
      <c r="I81">
        <v>30</v>
      </c>
    </row>
    <row r="82" spans="1:9" x14ac:dyDescent="0.3">
      <c r="A82" t="s">
        <v>1263</v>
      </c>
      <c r="B82" t="s">
        <v>1382</v>
      </c>
      <c r="C82">
        <v>0.22000000000000003</v>
      </c>
      <c r="D82">
        <v>0.4</v>
      </c>
      <c r="E82">
        <v>0.85</v>
      </c>
      <c r="F82">
        <v>0.4</v>
      </c>
      <c r="G82">
        <v>91</v>
      </c>
      <c r="H82">
        <v>0</v>
      </c>
      <c r="I82">
        <v>30</v>
      </c>
    </row>
    <row r="83" spans="1:9" x14ac:dyDescent="0.3">
      <c r="A83" t="s">
        <v>1264</v>
      </c>
      <c r="B83" t="s">
        <v>1383</v>
      </c>
      <c r="C83">
        <v>0.9900000000000001</v>
      </c>
      <c r="D83">
        <v>0.4</v>
      </c>
      <c r="E83">
        <v>0.85</v>
      </c>
      <c r="F83">
        <v>0.4</v>
      </c>
      <c r="G83">
        <v>91</v>
      </c>
      <c r="H83">
        <v>0</v>
      </c>
      <c r="I83">
        <v>30</v>
      </c>
    </row>
    <row r="84" spans="1:9" x14ac:dyDescent="0.3">
      <c r="A84" t="s">
        <v>1265</v>
      </c>
      <c r="B84" t="s">
        <v>1384</v>
      </c>
      <c r="C84">
        <v>0.38500000000000001</v>
      </c>
      <c r="D84">
        <v>0.4</v>
      </c>
      <c r="E84">
        <v>0.85</v>
      </c>
      <c r="F84">
        <v>0.4</v>
      </c>
      <c r="G84">
        <v>91</v>
      </c>
      <c r="H84">
        <v>0</v>
      </c>
      <c r="I84">
        <v>30</v>
      </c>
    </row>
    <row r="85" spans="1:9" x14ac:dyDescent="0.3">
      <c r="A85" t="s">
        <v>1266</v>
      </c>
      <c r="B85" t="s">
        <v>1385</v>
      </c>
      <c r="C85">
        <v>0.33</v>
      </c>
      <c r="D85">
        <v>0.4</v>
      </c>
      <c r="E85">
        <v>0.85</v>
      </c>
      <c r="F85">
        <v>0.4</v>
      </c>
      <c r="G85">
        <v>91</v>
      </c>
      <c r="H85">
        <v>0</v>
      </c>
      <c r="I85">
        <v>30</v>
      </c>
    </row>
    <row r="86" spans="1:9" x14ac:dyDescent="0.3">
      <c r="A86" t="s">
        <v>1267</v>
      </c>
      <c r="B86" t="s">
        <v>1386</v>
      </c>
      <c r="C86">
        <v>0.39600000000000002</v>
      </c>
      <c r="D86">
        <v>0.4</v>
      </c>
      <c r="E86">
        <v>0.85</v>
      </c>
      <c r="F86">
        <v>0.4</v>
      </c>
      <c r="G86">
        <v>91</v>
      </c>
      <c r="H86">
        <v>0</v>
      </c>
      <c r="I86">
        <v>30</v>
      </c>
    </row>
    <row r="87" spans="1:9" x14ac:dyDescent="0.3">
      <c r="A87" t="s">
        <v>1268</v>
      </c>
      <c r="B87" t="s">
        <v>1387</v>
      </c>
      <c r="C87">
        <v>0.39600000000000002</v>
      </c>
      <c r="D87">
        <v>0.4</v>
      </c>
      <c r="E87">
        <v>0.85</v>
      </c>
      <c r="F87">
        <v>0.4</v>
      </c>
      <c r="G87">
        <v>91</v>
      </c>
      <c r="H87">
        <v>0</v>
      </c>
      <c r="I87">
        <v>30</v>
      </c>
    </row>
    <row r="88" spans="1:9" x14ac:dyDescent="0.3">
      <c r="A88" t="s">
        <v>1269</v>
      </c>
      <c r="B88" t="s">
        <v>1388</v>
      </c>
      <c r="C88">
        <v>0.38500000000000001</v>
      </c>
      <c r="D88">
        <v>0.4</v>
      </c>
      <c r="E88">
        <v>0.85</v>
      </c>
      <c r="F88">
        <v>0.4</v>
      </c>
      <c r="G88">
        <v>91</v>
      </c>
      <c r="H88">
        <v>0</v>
      </c>
      <c r="I88">
        <v>30</v>
      </c>
    </row>
    <row r="89" spans="1:9" x14ac:dyDescent="0.3">
      <c r="A89" t="s">
        <v>1270</v>
      </c>
      <c r="B89" t="s">
        <v>1389</v>
      </c>
      <c r="C89">
        <v>0.7370000000000001</v>
      </c>
      <c r="D89">
        <v>0.4</v>
      </c>
      <c r="E89">
        <v>0.85</v>
      </c>
      <c r="F89">
        <v>0.4</v>
      </c>
      <c r="G89">
        <v>91</v>
      </c>
      <c r="H89">
        <v>0</v>
      </c>
      <c r="I89">
        <v>30</v>
      </c>
    </row>
    <row r="90" spans="1:9" x14ac:dyDescent="0.3">
      <c r="A90" t="s">
        <v>1271</v>
      </c>
      <c r="B90" t="s">
        <v>1390</v>
      </c>
      <c r="C90">
        <v>0.38500000000000001</v>
      </c>
      <c r="D90">
        <v>0.4</v>
      </c>
      <c r="E90">
        <v>0.85</v>
      </c>
      <c r="F90">
        <v>0.4</v>
      </c>
      <c r="G90">
        <v>91</v>
      </c>
      <c r="H90">
        <v>0</v>
      </c>
      <c r="I90">
        <v>30</v>
      </c>
    </row>
    <row r="91" spans="1:9" x14ac:dyDescent="0.3">
      <c r="A91" t="s">
        <v>1272</v>
      </c>
      <c r="B91" t="s">
        <v>1391</v>
      </c>
      <c r="C91">
        <v>0.22000000000000003</v>
      </c>
      <c r="D91">
        <v>0.4</v>
      </c>
      <c r="E91">
        <v>0.85</v>
      </c>
      <c r="F91">
        <v>0.4</v>
      </c>
      <c r="G91">
        <v>91</v>
      </c>
      <c r="H91">
        <v>0</v>
      </c>
      <c r="I91">
        <v>30</v>
      </c>
    </row>
    <row r="92" spans="1:9" x14ac:dyDescent="0.3">
      <c r="A92" t="s">
        <v>1273</v>
      </c>
      <c r="B92" t="s">
        <v>1392</v>
      </c>
      <c r="C92">
        <v>0.80300000000000005</v>
      </c>
      <c r="D92">
        <v>0.4</v>
      </c>
      <c r="E92">
        <v>0.85</v>
      </c>
      <c r="F92">
        <v>0.4</v>
      </c>
      <c r="G92">
        <v>91</v>
      </c>
      <c r="H92">
        <v>0</v>
      </c>
      <c r="I92">
        <v>30</v>
      </c>
    </row>
    <row r="93" spans="1:9" x14ac:dyDescent="0.3">
      <c r="A93" t="s">
        <v>1274</v>
      </c>
      <c r="B93" t="s">
        <v>1393</v>
      </c>
      <c r="C93">
        <v>0.22000000000000003</v>
      </c>
      <c r="D93">
        <v>0.4</v>
      </c>
      <c r="E93">
        <v>0.85</v>
      </c>
      <c r="F93">
        <v>0.4</v>
      </c>
      <c r="G93">
        <v>91</v>
      </c>
      <c r="H93">
        <v>0</v>
      </c>
      <c r="I93">
        <v>30</v>
      </c>
    </row>
    <row r="94" spans="1:9" x14ac:dyDescent="0.3">
      <c r="A94" t="s">
        <v>1275</v>
      </c>
      <c r="B94" t="s">
        <v>1394</v>
      </c>
      <c r="C94">
        <v>0.22000000000000003</v>
      </c>
      <c r="D94">
        <v>0.4</v>
      </c>
      <c r="E94">
        <v>0.85</v>
      </c>
      <c r="F94">
        <v>0.4</v>
      </c>
      <c r="G94">
        <v>91</v>
      </c>
      <c r="H94">
        <v>0</v>
      </c>
      <c r="I94">
        <v>30</v>
      </c>
    </row>
    <row r="95" spans="1:9" x14ac:dyDescent="0.3">
      <c r="A95" t="s">
        <v>1276</v>
      </c>
      <c r="B95" t="s">
        <v>1395</v>
      </c>
      <c r="C95">
        <v>0.29700000000000004</v>
      </c>
      <c r="D95">
        <v>0.4</v>
      </c>
      <c r="E95">
        <v>0.85</v>
      </c>
      <c r="F95">
        <v>0.4</v>
      </c>
      <c r="G95">
        <v>91</v>
      </c>
      <c r="H95">
        <v>0</v>
      </c>
      <c r="I95">
        <v>30</v>
      </c>
    </row>
    <row r="96" spans="1:9" x14ac:dyDescent="0.3">
      <c r="A96" t="s">
        <v>1277</v>
      </c>
      <c r="B96" t="s">
        <v>1396</v>
      </c>
      <c r="C96">
        <v>0.11000000000000001</v>
      </c>
      <c r="D96">
        <v>0.4</v>
      </c>
      <c r="E96">
        <v>0.85</v>
      </c>
      <c r="F96">
        <v>0.4</v>
      </c>
      <c r="G96">
        <v>91</v>
      </c>
      <c r="H96">
        <v>0</v>
      </c>
      <c r="I96">
        <v>30</v>
      </c>
    </row>
    <row r="97" spans="1:9" x14ac:dyDescent="0.3">
      <c r="A97" t="s">
        <v>1278</v>
      </c>
      <c r="B97" t="s">
        <v>924</v>
      </c>
      <c r="C97">
        <v>1.29</v>
      </c>
      <c r="D97">
        <v>0.5</v>
      </c>
      <c r="E97">
        <v>0.8</v>
      </c>
      <c r="F97">
        <v>0.5</v>
      </c>
      <c r="G97">
        <v>112</v>
      </c>
      <c r="H97">
        <v>0</v>
      </c>
      <c r="I97">
        <v>30</v>
      </c>
    </row>
    <row r="98" spans="1:9" x14ac:dyDescent="0.3">
      <c r="A98" t="s">
        <v>1279</v>
      </c>
      <c r="B98" t="s">
        <v>930</v>
      </c>
      <c r="C98">
        <v>0.48</v>
      </c>
      <c r="D98">
        <v>0.5</v>
      </c>
      <c r="E98">
        <v>0.8</v>
      </c>
      <c r="F98">
        <v>0.5</v>
      </c>
      <c r="G98">
        <v>112</v>
      </c>
      <c r="H98">
        <v>0</v>
      </c>
      <c r="I98">
        <v>30</v>
      </c>
    </row>
    <row r="99" spans="1:9" x14ac:dyDescent="0.3">
      <c r="A99" t="s">
        <v>1280</v>
      </c>
      <c r="B99" t="s">
        <v>935</v>
      </c>
      <c r="C99">
        <v>0.19</v>
      </c>
      <c r="D99">
        <v>0.5</v>
      </c>
      <c r="E99">
        <v>0.8</v>
      </c>
      <c r="F99">
        <v>0.5</v>
      </c>
      <c r="G99">
        <v>112</v>
      </c>
      <c r="H99">
        <v>0</v>
      </c>
      <c r="I99">
        <v>30</v>
      </c>
    </row>
    <row r="100" spans="1:9" x14ac:dyDescent="0.3">
      <c r="A100" t="s">
        <v>1281</v>
      </c>
      <c r="B100" t="s">
        <v>940</v>
      </c>
      <c r="C100">
        <v>1.28</v>
      </c>
      <c r="D100">
        <v>0.5</v>
      </c>
      <c r="E100">
        <v>0.8</v>
      </c>
      <c r="F100">
        <v>0.5</v>
      </c>
      <c r="G100">
        <v>112</v>
      </c>
      <c r="H100">
        <v>0</v>
      </c>
      <c r="I100">
        <v>30</v>
      </c>
    </row>
    <row r="101" spans="1:9" x14ac:dyDescent="0.3">
      <c r="A101" t="s">
        <v>1282</v>
      </c>
      <c r="B101" t="s">
        <v>945</v>
      </c>
      <c r="C101">
        <v>0.28999999999999998</v>
      </c>
      <c r="D101">
        <v>0.5</v>
      </c>
      <c r="E101">
        <v>0.8</v>
      </c>
      <c r="F101">
        <v>0.5</v>
      </c>
      <c r="G101">
        <v>112</v>
      </c>
      <c r="H101">
        <v>0</v>
      </c>
      <c r="I101">
        <v>30</v>
      </c>
    </row>
    <row r="102" spans="1:9" x14ac:dyDescent="0.3">
      <c r="A102" t="s">
        <v>1283</v>
      </c>
      <c r="B102" t="s">
        <v>950</v>
      </c>
      <c r="C102">
        <v>0.2</v>
      </c>
      <c r="D102">
        <v>0.5</v>
      </c>
      <c r="E102">
        <v>0.8</v>
      </c>
      <c r="F102">
        <v>0.5</v>
      </c>
      <c r="G102">
        <v>112</v>
      </c>
      <c r="H102">
        <v>0</v>
      </c>
      <c r="I102">
        <v>30</v>
      </c>
    </row>
    <row r="103" spans="1:9" x14ac:dyDescent="0.3">
      <c r="A103" t="s">
        <v>1284</v>
      </c>
      <c r="B103" t="s">
        <v>955</v>
      </c>
      <c r="C103">
        <v>0.95</v>
      </c>
      <c r="D103">
        <v>0.5</v>
      </c>
      <c r="E103">
        <v>0.8</v>
      </c>
      <c r="F103">
        <v>0.5</v>
      </c>
      <c r="G103">
        <v>112</v>
      </c>
      <c r="H103">
        <v>0</v>
      </c>
      <c r="I103">
        <v>30</v>
      </c>
    </row>
    <row r="104" spans="1:9" x14ac:dyDescent="0.3">
      <c r="A104" t="s">
        <v>1285</v>
      </c>
      <c r="B104" t="s">
        <v>960</v>
      </c>
      <c r="C104">
        <v>0.44</v>
      </c>
      <c r="D104">
        <v>0.5</v>
      </c>
      <c r="E104">
        <v>0.8</v>
      </c>
      <c r="F104">
        <v>0.5</v>
      </c>
      <c r="G104">
        <v>112</v>
      </c>
      <c r="H104">
        <v>0</v>
      </c>
      <c r="I104">
        <v>30</v>
      </c>
    </row>
    <row r="105" spans="1:9" x14ac:dyDescent="0.3">
      <c r="A105" t="s">
        <v>1286</v>
      </c>
      <c r="B105" t="s">
        <v>965</v>
      </c>
      <c r="C105">
        <v>0.21</v>
      </c>
      <c r="D105">
        <v>0.5</v>
      </c>
      <c r="E105">
        <v>0.8</v>
      </c>
      <c r="F105">
        <v>0.5</v>
      </c>
      <c r="G105">
        <v>112</v>
      </c>
      <c r="H105">
        <v>0</v>
      </c>
      <c r="I105">
        <v>30</v>
      </c>
    </row>
    <row r="106" spans="1:9" x14ac:dyDescent="0.3">
      <c r="A106" t="s">
        <v>1287</v>
      </c>
      <c r="B106" t="s">
        <v>970</v>
      </c>
      <c r="C106">
        <v>1.0900000000000001</v>
      </c>
      <c r="D106">
        <v>0.5</v>
      </c>
      <c r="E106">
        <v>0.8</v>
      </c>
      <c r="F106">
        <v>0.5</v>
      </c>
      <c r="G106">
        <v>112</v>
      </c>
      <c r="H106">
        <v>0</v>
      </c>
      <c r="I106">
        <v>30</v>
      </c>
    </row>
    <row r="107" spans="1:9" x14ac:dyDescent="0.3">
      <c r="A107" t="s">
        <v>1288</v>
      </c>
      <c r="B107" t="s">
        <v>975</v>
      </c>
      <c r="C107">
        <v>0.51</v>
      </c>
      <c r="D107">
        <v>0.5</v>
      </c>
      <c r="E107">
        <v>0.8</v>
      </c>
      <c r="F107">
        <v>0.5</v>
      </c>
      <c r="G107">
        <v>112</v>
      </c>
      <c r="H107">
        <v>0</v>
      </c>
      <c r="I107">
        <v>30</v>
      </c>
    </row>
    <row r="108" spans="1:9" x14ac:dyDescent="0.3">
      <c r="A108" t="s">
        <v>1289</v>
      </c>
      <c r="B108" t="s">
        <v>980</v>
      </c>
      <c r="C108">
        <v>0.23</v>
      </c>
      <c r="D108">
        <v>0.5</v>
      </c>
      <c r="E108">
        <v>0.8</v>
      </c>
      <c r="F108">
        <v>0.5</v>
      </c>
      <c r="G108">
        <v>112</v>
      </c>
      <c r="H108">
        <v>0</v>
      </c>
      <c r="I108">
        <v>30</v>
      </c>
    </row>
    <row r="109" spans="1:9" x14ac:dyDescent="0.3">
      <c r="A109" t="s">
        <v>1290</v>
      </c>
      <c r="B109" t="s">
        <v>985</v>
      </c>
      <c r="C109">
        <v>1.39</v>
      </c>
      <c r="D109">
        <v>0.5</v>
      </c>
      <c r="E109">
        <v>0.8</v>
      </c>
      <c r="F109">
        <v>0.5</v>
      </c>
      <c r="G109">
        <v>112</v>
      </c>
      <c r="H109">
        <v>0</v>
      </c>
      <c r="I109">
        <v>30</v>
      </c>
    </row>
    <row r="110" spans="1:9" x14ac:dyDescent="0.3">
      <c r="A110" t="s">
        <v>1291</v>
      </c>
      <c r="B110" t="s">
        <v>990</v>
      </c>
      <c r="C110">
        <v>0.53</v>
      </c>
      <c r="D110">
        <v>0.5</v>
      </c>
      <c r="E110">
        <v>0.8</v>
      </c>
      <c r="F110">
        <v>0.5</v>
      </c>
      <c r="G110">
        <v>112</v>
      </c>
      <c r="H110">
        <v>0</v>
      </c>
      <c r="I110">
        <v>30</v>
      </c>
    </row>
    <row r="111" spans="1:9" x14ac:dyDescent="0.3">
      <c r="A111" t="s">
        <v>1292</v>
      </c>
      <c r="B111" t="s">
        <v>995</v>
      </c>
      <c r="C111">
        <v>0.51</v>
      </c>
      <c r="D111">
        <v>0.5</v>
      </c>
      <c r="E111">
        <v>0.8</v>
      </c>
      <c r="F111">
        <v>0.5</v>
      </c>
      <c r="G111">
        <v>112</v>
      </c>
      <c r="H111">
        <v>0</v>
      </c>
      <c r="I111">
        <v>30</v>
      </c>
    </row>
    <row r="112" spans="1:9" x14ac:dyDescent="0.3">
      <c r="A112" t="s">
        <v>1293</v>
      </c>
      <c r="B112" t="s">
        <v>1000</v>
      </c>
      <c r="C112">
        <v>1.35</v>
      </c>
      <c r="D112">
        <v>0.5</v>
      </c>
      <c r="E112">
        <v>0.8</v>
      </c>
      <c r="F112">
        <v>0.5</v>
      </c>
      <c r="G112">
        <v>112</v>
      </c>
      <c r="H112">
        <v>0</v>
      </c>
      <c r="I112">
        <v>30</v>
      </c>
    </row>
    <row r="113" spans="1:9" x14ac:dyDescent="0.3">
      <c r="A113" t="s">
        <v>1294</v>
      </c>
      <c r="B113" t="s">
        <v>1005</v>
      </c>
      <c r="C113">
        <v>0.55000000000000004</v>
      </c>
      <c r="D113">
        <v>0.5</v>
      </c>
      <c r="E113">
        <v>0.8</v>
      </c>
      <c r="F113">
        <v>0.5</v>
      </c>
      <c r="G113">
        <v>112</v>
      </c>
      <c r="H113">
        <v>0</v>
      </c>
      <c r="I113">
        <v>30</v>
      </c>
    </row>
    <row r="114" spans="1:9" x14ac:dyDescent="0.3">
      <c r="A114" t="s">
        <v>1295</v>
      </c>
      <c r="B114" t="s">
        <v>1010</v>
      </c>
      <c r="C114">
        <v>0.27</v>
      </c>
      <c r="D114">
        <v>0.5</v>
      </c>
      <c r="E114">
        <v>0.8</v>
      </c>
      <c r="F114">
        <v>0.5</v>
      </c>
      <c r="G114">
        <v>112</v>
      </c>
      <c r="H114">
        <v>0</v>
      </c>
      <c r="I114">
        <v>30</v>
      </c>
    </row>
    <row r="115" spans="1:9" x14ac:dyDescent="0.3">
      <c r="A115" t="s">
        <v>1296</v>
      </c>
      <c r="B115" t="s">
        <v>1015</v>
      </c>
      <c r="C115">
        <v>1.2</v>
      </c>
      <c r="D115">
        <v>0.5</v>
      </c>
      <c r="E115">
        <v>0.8</v>
      </c>
      <c r="F115">
        <v>0.5</v>
      </c>
      <c r="G115">
        <v>112</v>
      </c>
      <c r="H115">
        <v>0</v>
      </c>
      <c r="I115">
        <v>30</v>
      </c>
    </row>
    <row r="116" spans="1:9" x14ac:dyDescent="0.3">
      <c r="A116" t="s">
        <v>1297</v>
      </c>
      <c r="B116" t="s">
        <v>1020</v>
      </c>
      <c r="C116">
        <v>0.47</v>
      </c>
      <c r="D116">
        <v>0.5</v>
      </c>
      <c r="E116">
        <v>0.8</v>
      </c>
      <c r="F116">
        <v>0.5</v>
      </c>
      <c r="G116">
        <v>112</v>
      </c>
      <c r="H116">
        <v>0</v>
      </c>
      <c r="I116">
        <v>30</v>
      </c>
    </row>
    <row r="117" spans="1:9" x14ac:dyDescent="0.3">
      <c r="A117" t="s">
        <v>1298</v>
      </c>
      <c r="B117" t="s">
        <v>1025</v>
      </c>
      <c r="C117">
        <v>0.32</v>
      </c>
      <c r="D117">
        <v>0.5</v>
      </c>
      <c r="E117">
        <v>0.8</v>
      </c>
      <c r="F117">
        <v>0.5</v>
      </c>
      <c r="G117">
        <v>112</v>
      </c>
      <c r="H117">
        <v>0</v>
      </c>
      <c r="I117">
        <v>30</v>
      </c>
    </row>
    <row r="118" spans="1:9" x14ac:dyDescent="0.3">
      <c r="A118" t="s">
        <v>1299</v>
      </c>
      <c r="B118" t="s">
        <v>1030</v>
      </c>
      <c r="C118">
        <v>1.03</v>
      </c>
      <c r="D118">
        <v>0.5</v>
      </c>
      <c r="E118">
        <v>0.8</v>
      </c>
      <c r="F118">
        <v>0.5</v>
      </c>
      <c r="G118">
        <v>112</v>
      </c>
      <c r="H118">
        <v>0</v>
      </c>
      <c r="I118">
        <v>30</v>
      </c>
    </row>
    <row r="119" spans="1:9" x14ac:dyDescent="0.3">
      <c r="A119" t="s">
        <v>1300</v>
      </c>
      <c r="B119" t="s">
        <v>1035</v>
      </c>
      <c r="C119">
        <v>0.51</v>
      </c>
      <c r="D119">
        <v>0.5</v>
      </c>
      <c r="E119">
        <v>0.8</v>
      </c>
      <c r="F119">
        <v>0.5</v>
      </c>
      <c r="G119">
        <v>112</v>
      </c>
      <c r="H119">
        <v>0</v>
      </c>
      <c r="I119">
        <v>30</v>
      </c>
    </row>
    <row r="120" spans="1:9" x14ac:dyDescent="0.3">
      <c r="A120" t="s">
        <v>1301</v>
      </c>
      <c r="B120" t="s">
        <v>1040</v>
      </c>
      <c r="C120">
        <v>0.24</v>
      </c>
      <c r="D120">
        <v>0.5</v>
      </c>
      <c r="E120">
        <v>0.8</v>
      </c>
      <c r="F120">
        <v>0.5</v>
      </c>
      <c r="G120">
        <v>112</v>
      </c>
      <c r="H120">
        <v>0</v>
      </c>
      <c r="I120">
        <v>30</v>
      </c>
    </row>
    <row r="121" spans="1:9" x14ac:dyDescent="0.3">
      <c r="A121" t="s">
        <v>1302</v>
      </c>
      <c r="B121" t="s">
        <v>1045</v>
      </c>
      <c r="C121">
        <v>0.55000000000000004</v>
      </c>
      <c r="D121">
        <v>0.5</v>
      </c>
      <c r="E121">
        <v>0.8</v>
      </c>
      <c r="F121">
        <v>0.5</v>
      </c>
      <c r="G121">
        <v>112</v>
      </c>
      <c r="H121">
        <v>0</v>
      </c>
      <c r="I121">
        <v>30</v>
      </c>
    </row>
    <row r="122" spans="1:9" x14ac:dyDescent="0.3">
      <c r="A122" t="s">
        <v>1303</v>
      </c>
      <c r="B122" t="s">
        <v>1050</v>
      </c>
      <c r="C122">
        <v>0.4</v>
      </c>
      <c r="D122">
        <v>0.5</v>
      </c>
      <c r="E122">
        <v>0.8</v>
      </c>
      <c r="F122">
        <v>0.5</v>
      </c>
      <c r="G122">
        <v>112</v>
      </c>
      <c r="H122">
        <v>0</v>
      </c>
      <c r="I122">
        <v>30</v>
      </c>
    </row>
    <row r="123" spans="1:9" x14ac:dyDescent="0.3">
      <c r="A123" t="s">
        <v>1304</v>
      </c>
      <c r="B123" t="s">
        <v>1055</v>
      </c>
      <c r="C123">
        <v>0.25</v>
      </c>
      <c r="D123">
        <v>0.5</v>
      </c>
      <c r="E123">
        <v>0.8</v>
      </c>
      <c r="F123">
        <v>0.5</v>
      </c>
      <c r="G123">
        <v>112</v>
      </c>
      <c r="H123">
        <v>0</v>
      </c>
      <c r="I123">
        <v>30</v>
      </c>
    </row>
    <row r="124" spans="1:9" x14ac:dyDescent="0.3">
      <c r="A124" t="s">
        <v>1305</v>
      </c>
      <c r="B124" t="s">
        <v>1060</v>
      </c>
      <c r="C124">
        <v>1.98</v>
      </c>
      <c r="D124">
        <v>0.5</v>
      </c>
      <c r="E124">
        <v>0.8</v>
      </c>
      <c r="F124">
        <v>0.5</v>
      </c>
      <c r="G124">
        <v>112</v>
      </c>
      <c r="H124">
        <v>0</v>
      </c>
      <c r="I124">
        <v>30</v>
      </c>
    </row>
    <row r="125" spans="1:9" x14ac:dyDescent="0.3">
      <c r="A125" t="s">
        <v>1306</v>
      </c>
      <c r="B125" t="s">
        <v>1065</v>
      </c>
      <c r="C125">
        <v>0.47</v>
      </c>
      <c r="D125">
        <v>0.5</v>
      </c>
      <c r="E125">
        <v>0.8</v>
      </c>
      <c r="F125">
        <v>0.5</v>
      </c>
      <c r="G125">
        <v>112</v>
      </c>
      <c r="H125">
        <v>0</v>
      </c>
      <c r="I125">
        <v>30</v>
      </c>
    </row>
    <row r="126" spans="1:9" x14ac:dyDescent="0.3">
      <c r="A126" t="s">
        <v>1307</v>
      </c>
      <c r="B126" t="s">
        <v>1070</v>
      </c>
      <c r="C126">
        <v>0.16</v>
      </c>
      <c r="D126">
        <v>0.5</v>
      </c>
      <c r="E126">
        <v>0.8</v>
      </c>
      <c r="F126">
        <v>0.5</v>
      </c>
      <c r="G126">
        <v>112</v>
      </c>
      <c r="H126">
        <v>0</v>
      </c>
      <c r="I126">
        <v>30</v>
      </c>
    </row>
    <row r="127" spans="1:9" x14ac:dyDescent="0.3">
      <c r="A127" t="s">
        <v>1308</v>
      </c>
      <c r="B127" t="s">
        <v>1075</v>
      </c>
      <c r="C127">
        <v>1.78</v>
      </c>
      <c r="D127">
        <v>0.5</v>
      </c>
      <c r="E127">
        <v>0.8</v>
      </c>
      <c r="F127">
        <v>0.5</v>
      </c>
      <c r="G127">
        <v>112</v>
      </c>
      <c r="H127">
        <v>0</v>
      </c>
      <c r="I127">
        <v>30</v>
      </c>
    </row>
    <row r="128" spans="1:9" x14ac:dyDescent="0.3">
      <c r="A128" t="s">
        <v>1309</v>
      </c>
      <c r="B128" t="s">
        <v>1080</v>
      </c>
      <c r="C128">
        <v>0.63</v>
      </c>
      <c r="D128">
        <v>0.5</v>
      </c>
      <c r="E128">
        <v>0.8</v>
      </c>
      <c r="F128">
        <v>0.5</v>
      </c>
      <c r="G128">
        <v>112</v>
      </c>
      <c r="H128">
        <v>0</v>
      </c>
      <c r="I128">
        <v>30</v>
      </c>
    </row>
    <row r="129" spans="1:9" x14ac:dyDescent="0.3">
      <c r="A129" t="s">
        <v>1310</v>
      </c>
      <c r="B129" t="s">
        <v>1085</v>
      </c>
      <c r="C129">
        <v>0.16</v>
      </c>
      <c r="D129">
        <v>0.5</v>
      </c>
      <c r="E129">
        <v>0.8</v>
      </c>
      <c r="F129">
        <v>0.5</v>
      </c>
      <c r="G129">
        <v>112</v>
      </c>
      <c r="H129">
        <v>0</v>
      </c>
      <c r="I129">
        <v>30</v>
      </c>
    </row>
    <row r="130" spans="1:9" x14ac:dyDescent="0.3">
      <c r="A130" t="s">
        <v>1311</v>
      </c>
      <c r="B130" t="s">
        <v>1090</v>
      </c>
      <c r="C130">
        <v>1.1200000000000001</v>
      </c>
      <c r="D130">
        <v>0.5</v>
      </c>
      <c r="E130">
        <v>0.8</v>
      </c>
      <c r="F130">
        <v>0.5</v>
      </c>
      <c r="G130">
        <v>112</v>
      </c>
      <c r="H130">
        <v>0</v>
      </c>
      <c r="I130">
        <v>30</v>
      </c>
    </row>
    <row r="131" spans="1:9" x14ac:dyDescent="0.3">
      <c r="A131" t="s">
        <v>1312</v>
      </c>
      <c r="B131" t="s">
        <v>1095</v>
      </c>
      <c r="C131">
        <v>0.46</v>
      </c>
      <c r="D131">
        <v>0.5</v>
      </c>
      <c r="E131">
        <v>0.8</v>
      </c>
      <c r="F131">
        <v>0.5</v>
      </c>
      <c r="G131">
        <v>112</v>
      </c>
      <c r="H131">
        <v>0</v>
      </c>
      <c r="I131">
        <v>30</v>
      </c>
    </row>
    <row r="132" spans="1:9" x14ac:dyDescent="0.3">
      <c r="A132" t="s">
        <v>1313</v>
      </c>
      <c r="B132" t="s">
        <v>1100</v>
      </c>
      <c r="C132">
        <v>0.25</v>
      </c>
      <c r="D132">
        <v>0.5</v>
      </c>
      <c r="E132">
        <v>0.8</v>
      </c>
      <c r="F132">
        <v>0.5</v>
      </c>
      <c r="G132">
        <v>112</v>
      </c>
      <c r="H132">
        <v>0</v>
      </c>
      <c r="I132">
        <v>30</v>
      </c>
    </row>
    <row r="133" spans="1:9" x14ac:dyDescent="0.3">
      <c r="A133" t="s">
        <v>1314</v>
      </c>
      <c r="B133" t="s">
        <v>1105</v>
      </c>
      <c r="C133">
        <v>1.08</v>
      </c>
      <c r="D133">
        <v>0.5</v>
      </c>
      <c r="E133">
        <v>0.8</v>
      </c>
      <c r="F133">
        <v>0.5</v>
      </c>
      <c r="G133">
        <v>112</v>
      </c>
      <c r="H133">
        <v>0</v>
      </c>
      <c r="I133">
        <v>30</v>
      </c>
    </row>
    <row r="134" spans="1:9" x14ac:dyDescent="0.3">
      <c r="A134" t="s">
        <v>1315</v>
      </c>
      <c r="B134" t="s">
        <v>1110</v>
      </c>
      <c r="C134">
        <v>0.5</v>
      </c>
      <c r="D134">
        <v>0.5</v>
      </c>
      <c r="E134">
        <v>0.8</v>
      </c>
      <c r="F134">
        <v>0.5</v>
      </c>
      <c r="G134">
        <v>112</v>
      </c>
      <c r="H134">
        <v>0</v>
      </c>
      <c r="I134">
        <v>30</v>
      </c>
    </row>
    <row r="135" spans="1:9" x14ac:dyDescent="0.3">
      <c r="A135" t="s">
        <v>1316</v>
      </c>
      <c r="B135" t="s">
        <v>1115</v>
      </c>
      <c r="C135">
        <v>0.24</v>
      </c>
      <c r="D135">
        <v>0.5</v>
      </c>
      <c r="E135">
        <v>0.8</v>
      </c>
      <c r="F135">
        <v>0.5</v>
      </c>
      <c r="G135">
        <v>112</v>
      </c>
      <c r="H135">
        <v>0</v>
      </c>
      <c r="I135">
        <v>30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5EC00-629C-4052-A607-0135415C3CF1}">
  <sheetPr>
    <tabColor theme="5" tint="0.39997558519241921"/>
  </sheetPr>
  <dimension ref="A1:J131"/>
  <sheetViews>
    <sheetView topLeftCell="A75" zoomScale="70" zoomScaleNormal="70" workbookViewId="0">
      <selection activeCell="B13" sqref="B13:B92"/>
    </sheetView>
  </sheetViews>
  <sheetFormatPr baseColWidth="10" defaultRowHeight="14.4" x14ac:dyDescent="0.3"/>
  <cols>
    <col min="1" max="1" width="38.6640625" customWidth="1"/>
    <col min="2" max="2" width="17.6640625" customWidth="1"/>
  </cols>
  <sheetData>
    <row r="1" spans="1:10" x14ac:dyDescent="0.3">
      <c r="A1" t="s">
        <v>4</v>
      </c>
      <c r="B1" t="s">
        <v>352</v>
      </c>
      <c r="C1" t="s">
        <v>468</v>
      </c>
      <c r="D1" t="s">
        <v>469</v>
      </c>
      <c r="E1" t="s">
        <v>470</v>
      </c>
      <c r="F1" t="s">
        <v>471</v>
      </c>
      <c r="G1" t="s">
        <v>472</v>
      </c>
      <c r="H1" t="s">
        <v>473</v>
      </c>
      <c r="I1" t="s">
        <v>474</v>
      </c>
      <c r="J1" t="s">
        <v>395</v>
      </c>
    </row>
    <row r="2" spans="1:10" x14ac:dyDescent="0.3">
      <c r="A2" t="s">
        <v>475</v>
      </c>
      <c r="B2" t="s">
        <v>41</v>
      </c>
      <c r="C2">
        <v>4.8</v>
      </c>
      <c r="D2">
        <v>0.85</v>
      </c>
      <c r="E2">
        <v>0.89</v>
      </c>
      <c r="F2">
        <v>0.2</v>
      </c>
      <c r="G2">
        <v>47</v>
      </c>
      <c r="H2">
        <v>0</v>
      </c>
      <c r="I2">
        <v>30</v>
      </c>
      <c r="J2" t="s">
        <v>493</v>
      </c>
    </row>
    <row r="3" spans="1:10" x14ac:dyDescent="0.3">
      <c r="A3" t="s">
        <v>476</v>
      </c>
      <c r="B3" t="s">
        <v>72</v>
      </c>
      <c r="C3">
        <v>3.1</v>
      </c>
      <c r="D3">
        <v>0.75</v>
      </c>
      <c r="E3">
        <v>0.89</v>
      </c>
      <c r="F3">
        <v>0.2</v>
      </c>
      <c r="G3">
        <v>62</v>
      </c>
      <c r="H3">
        <v>0</v>
      </c>
      <c r="I3">
        <v>30</v>
      </c>
      <c r="J3" t="s">
        <v>493</v>
      </c>
    </row>
    <row r="4" spans="1:10" x14ac:dyDescent="0.3">
      <c r="A4" t="s">
        <v>477</v>
      </c>
      <c r="B4" t="s">
        <v>478</v>
      </c>
      <c r="C4">
        <v>1.3</v>
      </c>
      <c r="D4">
        <v>0.75</v>
      </c>
      <c r="E4">
        <v>0.89</v>
      </c>
      <c r="F4">
        <v>0.2</v>
      </c>
      <c r="G4">
        <v>69</v>
      </c>
      <c r="H4">
        <v>0</v>
      </c>
      <c r="I4">
        <v>30</v>
      </c>
      <c r="J4" t="s">
        <v>493</v>
      </c>
    </row>
    <row r="5" spans="1:10" x14ac:dyDescent="0.3">
      <c r="A5" t="s">
        <v>479</v>
      </c>
      <c r="B5" t="s">
        <v>85</v>
      </c>
      <c r="C5">
        <v>1.1000000000000001</v>
      </c>
      <c r="D5">
        <v>0.67</v>
      </c>
      <c r="E5">
        <v>0.02</v>
      </c>
      <c r="F5">
        <v>0.2</v>
      </c>
      <c r="G5">
        <v>123</v>
      </c>
      <c r="H5">
        <v>0</v>
      </c>
      <c r="I5">
        <v>30</v>
      </c>
      <c r="J5" t="s">
        <v>493</v>
      </c>
    </row>
    <row r="6" spans="1:10" x14ac:dyDescent="0.3">
      <c r="A6" t="s">
        <v>480</v>
      </c>
      <c r="B6" t="s">
        <v>481</v>
      </c>
      <c r="C6">
        <v>0.99</v>
      </c>
      <c r="D6">
        <v>0.7</v>
      </c>
      <c r="E6">
        <v>0.89</v>
      </c>
      <c r="F6">
        <v>0.2</v>
      </c>
      <c r="G6">
        <v>123</v>
      </c>
      <c r="H6">
        <v>0</v>
      </c>
      <c r="I6">
        <v>30</v>
      </c>
      <c r="J6" t="s">
        <v>493</v>
      </c>
    </row>
    <row r="7" spans="1:10" x14ac:dyDescent="0.3">
      <c r="A7" t="s">
        <v>482</v>
      </c>
      <c r="B7" t="s">
        <v>483</v>
      </c>
      <c r="C7">
        <v>0.6</v>
      </c>
      <c r="D7">
        <v>0.5</v>
      </c>
      <c r="E7">
        <v>0.02</v>
      </c>
      <c r="F7">
        <v>0.2</v>
      </c>
      <c r="G7">
        <v>123</v>
      </c>
      <c r="H7">
        <v>0</v>
      </c>
      <c r="I7">
        <v>30</v>
      </c>
      <c r="J7" t="s">
        <v>493</v>
      </c>
    </row>
    <row r="8" spans="1:10" x14ac:dyDescent="0.3">
      <c r="A8" t="s">
        <v>484</v>
      </c>
      <c r="B8" t="s">
        <v>485</v>
      </c>
      <c r="C8">
        <v>1.2</v>
      </c>
      <c r="D8">
        <v>0.75</v>
      </c>
      <c r="E8">
        <v>0.89</v>
      </c>
      <c r="F8">
        <v>0.2</v>
      </c>
      <c r="G8">
        <v>70</v>
      </c>
      <c r="H8">
        <v>0</v>
      </c>
      <c r="I8">
        <v>30</v>
      </c>
      <c r="J8" t="s">
        <v>493</v>
      </c>
    </row>
    <row r="9" spans="1:10" x14ac:dyDescent="0.3">
      <c r="A9" t="s">
        <v>486</v>
      </c>
      <c r="B9" t="s">
        <v>487</v>
      </c>
      <c r="C9">
        <v>5.4</v>
      </c>
      <c r="D9">
        <v>0.85</v>
      </c>
      <c r="E9">
        <v>0.89</v>
      </c>
      <c r="F9">
        <v>0.2</v>
      </c>
      <c r="G9">
        <v>47</v>
      </c>
      <c r="H9">
        <v>0</v>
      </c>
      <c r="I9">
        <v>30</v>
      </c>
      <c r="J9" t="s">
        <v>493</v>
      </c>
    </row>
    <row r="10" spans="1:10" x14ac:dyDescent="0.3">
      <c r="A10" t="s">
        <v>488</v>
      </c>
      <c r="B10" t="s">
        <v>489</v>
      </c>
      <c r="C10">
        <v>1.8</v>
      </c>
      <c r="D10">
        <v>0.28999999999999998</v>
      </c>
      <c r="E10">
        <v>0.89</v>
      </c>
      <c r="F10">
        <v>0.2</v>
      </c>
      <c r="G10">
        <v>62</v>
      </c>
      <c r="H10">
        <v>0</v>
      </c>
      <c r="I10">
        <v>30</v>
      </c>
      <c r="J10" t="s">
        <v>493</v>
      </c>
    </row>
    <row r="11" spans="1:10" x14ac:dyDescent="0.3">
      <c r="A11" t="s">
        <v>490</v>
      </c>
      <c r="B11" t="s">
        <v>491</v>
      </c>
      <c r="C11">
        <v>2.2000000000000002</v>
      </c>
      <c r="D11">
        <v>0.2</v>
      </c>
      <c r="E11">
        <v>0.89</v>
      </c>
      <c r="F11">
        <v>0.2</v>
      </c>
      <c r="G11">
        <v>62</v>
      </c>
      <c r="H11">
        <v>0</v>
      </c>
      <c r="I11">
        <v>30</v>
      </c>
      <c r="J11" t="s">
        <v>493</v>
      </c>
    </row>
    <row r="12" spans="1:10" x14ac:dyDescent="0.3">
      <c r="A12" t="s">
        <v>412</v>
      </c>
      <c r="B12" t="s">
        <v>492</v>
      </c>
      <c r="C12">
        <v>4.8</v>
      </c>
      <c r="D12">
        <v>0.85</v>
      </c>
      <c r="E12">
        <v>0.89</v>
      </c>
      <c r="F12">
        <v>0.2</v>
      </c>
      <c r="G12">
        <v>0</v>
      </c>
      <c r="H12">
        <v>0</v>
      </c>
      <c r="I12">
        <v>30</v>
      </c>
    </row>
    <row r="13" spans="1:10" x14ac:dyDescent="0.3">
      <c r="A13" t="s">
        <v>1198</v>
      </c>
      <c r="B13" t="s">
        <v>1118</v>
      </c>
      <c r="C13">
        <v>2.75</v>
      </c>
      <c r="D13">
        <v>0.65</v>
      </c>
      <c r="E13">
        <f>IF(C13&gt;1.2,0.89,0.02)</f>
        <v>0.89</v>
      </c>
      <c r="F13">
        <v>0.3</v>
      </c>
      <c r="G13">
        <v>62</v>
      </c>
      <c r="H13">
        <v>0</v>
      </c>
      <c r="I13">
        <v>30</v>
      </c>
    </row>
    <row r="14" spans="1:10" x14ac:dyDescent="0.3">
      <c r="A14" t="s">
        <v>1199</v>
      </c>
      <c r="B14" t="s">
        <v>1119</v>
      </c>
      <c r="C14">
        <v>1.32</v>
      </c>
      <c r="D14">
        <v>0.6</v>
      </c>
      <c r="E14">
        <f t="shared" ref="E14:E77" si="0">IF(C14&gt;1.2,0.89,0.02)</f>
        <v>0.89</v>
      </c>
      <c r="F14">
        <v>0.3</v>
      </c>
      <c r="G14">
        <v>62</v>
      </c>
      <c r="H14">
        <v>0</v>
      </c>
      <c r="I14">
        <v>30</v>
      </c>
    </row>
    <row r="15" spans="1:10" x14ac:dyDescent="0.3">
      <c r="A15" t="s">
        <v>1200</v>
      </c>
      <c r="B15" t="s">
        <v>1120</v>
      </c>
      <c r="C15">
        <v>1.32</v>
      </c>
      <c r="D15">
        <v>0.5</v>
      </c>
      <c r="E15">
        <f t="shared" si="0"/>
        <v>0.89</v>
      </c>
      <c r="F15">
        <v>0.3</v>
      </c>
      <c r="G15">
        <v>62</v>
      </c>
      <c r="H15">
        <v>0</v>
      </c>
      <c r="I15">
        <v>30</v>
      </c>
    </row>
    <row r="16" spans="1:10" x14ac:dyDescent="0.3">
      <c r="A16" t="s">
        <v>1201</v>
      </c>
      <c r="B16" t="s">
        <v>1121</v>
      </c>
      <c r="C16">
        <v>1.7050000000000003</v>
      </c>
      <c r="D16">
        <v>0.65</v>
      </c>
      <c r="E16">
        <f t="shared" si="0"/>
        <v>0.89</v>
      </c>
      <c r="F16">
        <v>0.3</v>
      </c>
      <c r="G16">
        <v>62</v>
      </c>
      <c r="H16">
        <v>0</v>
      </c>
      <c r="I16">
        <v>30</v>
      </c>
    </row>
    <row r="17" spans="1:9" x14ac:dyDescent="0.3">
      <c r="A17" t="s">
        <v>1202</v>
      </c>
      <c r="B17" t="s">
        <v>1122</v>
      </c>
      <c r="C17">
        <v>1.1000000000000001</v>
      </c>
      <c r="D17">
        <v>0.6</v>
      </c>
      <c r="E17">
        <f t="shared" si="0"/>
        <v>0.02</v>
      </c>
      <c r="F17">
        <v>0.3</v>
      </c>
      <c r="G17">
        <v>62</v>
      </c>
      <c r="H17">
        <v>0</v>
      </c>
      <c r="I17">
        <v>30</v>
      </c>
    </row>
    <row r="18" spans="1:9" x14ac:dyDescent="0.3">
      <c r="A18" t="s">
        <v>1203</v>
      </c>
      <c r="B18" t="s">
        <v>1123</v>
      </c>
      <c r="C18">
        <v>0.88000000000000012</v>
      </c>
      <c r="D18">
        <v>0.5</v>
      </c>
      <c r="E18">
        <f t="shared" si="0"/>
        <v>0.02</v>
      </c>
      <c r="F18">
        <v>0.3</v>
      </c>
      <c r="G18">
        <v>62</v>
      </c>
      <c r="H18">
        <v>0</v>
      </c>
      <c r="I18">
        <v>30</v>
      </c>
    </row>
    <row r="19" spans="1:9" x14ac:dyDescent="0.3">
      <c r="A19" t="s">
        <v>1204</v>
      </c>
      <c r="B19" t="s">
        <v>1124</v>
      </c>
      <c r="C19">
        <v>2.1779999999999999</v>
      </c>
      <c r="D19">
        <v>0.65</v>
      </c>
      <c r="E19">
        <f t="shared" si="0"/>
        <v>0.89</v>
      </c>
      <c r="F19">
        <v>0.3</v>
      </c>
      <c r="G19">
        <v>62</v>
      </c>
      <c r="H19">
        <v>0</v>
      </c>
      <c r="I19">
        <v>30</v>
      </c>
    </row>
    <row r="20" spans="1:9" x14ac:dyDescent="0.3">
      <c r="A20" t="s">
        <v>1205</v>
      </c>
      <c r="B20" t="s">
        <v>1125</v>
      </c>
      <c r="C20">
        <v>1.32</v>
      </c>
      <c r="D20">
        <v>0.6</v>
      </c>
      <c r="E20">
        <f t="shared" si="0"/>
        <v>0.89</v>
      </c>
      <c r="F20">
        <v>0.3</v>
      </c>
      <c r="G20">
        <v>62</v>
      </c>
      <c r="H20">
        <v>0</v>
      </c>
      <c r="I20">
        <v>30</v>
      </c>
    </row>
    <row r="21" spans="1:9" x14ac:dyDescent="0.3">
      <c r="A21" t="s">
        <v>1206</v>
      </c>
      <c r="B21" t="s">
        <v>1126</v>
      </c>
      <c r="C21">
        <v>1.32</v>
      </c>
      <c r="D21">
        <v>0.5</v>
      </c>
      <c r="E21">
        <f t="shared" si="0"/>
        <v>0.89</v>
      </c>
      <c r="F21">
        <v>0.3</v>
      </c>
      <c r="G21">
        <v>62</v>
      </c>
      <c r="H21">
        <v>0</v>
      </c>
      <c r="I21">
        <v>30</v>
      </c>
    </row>
    <row r="22" spans="1:9" x14ac:dyDescent="0.3">
      <c r="A22" t="s">
        <v>1207</v>
      </c>
      <c r="B22" t="s">
        <v>1127</v>
      </c>
      <c r="C22">
        <v>2.7940000000000005</v>
      </c>
      <c r="D22">
        <v>0.65</v>
      </c>
      <c r="E22">
        <f t="shared" si="0"/>
        <v>0.89</v>
      </c>
      <c r="F22">
        <v>0.3</v>
      </c>
      <c r="G22">
        <v>62</v>
      </c>
      <c r="H22">
        <v>0</v>
      </c>
      <c r="I22">
        <v>30</v>
      </c>
    </row>
    <row r="23" spans="1:9" x14ac:dyDescent="0.3">
      <c r="A23" t="s">
        <v>1208</v>
      </c>
      <c r="B23" t="s">
        <v>1128</v>
      </c>
      <c r="C23">
        <v>1.1000000000000001</v>
      </c>
      <c r="D23">
        <v>0.6</v>
      </c>
      <c r="E23">
        <f t="shared" si="0"/>
        <v>0.02</v>
      </c>
      <c r="F23">
        <v>0.3</v>
      </c>
      <c r="G23">
        <v>62</v>
      </c>
      <c r="H23">
        <v>0</v>
      </c>
      <c r="I23">
        <v>30</v>
      </c>
    </row>
    <row r="24" spans="1:9" x14ac:dyDescent="0.3">
      <c r="A24" t="s">
        <v>1209</v>
      </c>
      <c r="B24" t="s">
        <v>1129</v>
      </c>
      <c r="C24">
        <v>0.88000000000000012</v>
      </c>
      <c r="D24">
        <v>0.5</v>
      </c>
      <c r="E24">
        <f t="shared" si="0"/>
        <v>0.02</v>
      </c>
      <c r="F24">
        <v>0.3</v>
      </c>
      <c r="G24">
        <v>62</v>
      </c>
      <c r="H24">
        <v>0</v>
      </c>
      <c r="I24">
        <v>30</v>
      </c>
    </row>
    <row r="25" spans="1:9" x14ac:dyDescent="0.3">
      <c r="A25" t="s">
        <v>1210</v>
      </c>
      <c r="B25" t="s">
        <v>1130</v>
      </c>
      <c r="C25">
        <v>1.6500000000000001</v>
      </c>
      <c r="D25">
        <v>0.65</v>
      </c>
      <c r="E25">
        <f t="shared" si="0"/>
        <v>0.89</v>
      </c>
      <c r="F25">
        <v>0.3</v>
      </c>
      <c r="G25">
        <v>62</v>
      </c>
      <c r="H25">
        <v>0</v>
      </c>
      <c r="I25">
        <v>30</v>
      </c>
    </row>
    <row r="26" spans="1:9" x14ac:dyDescent="0.3">
      <c r="A26" t="s">
        <v>1211</v>
      </c>
      <c r="B26" t="s">
        <v>1131</v>
      </c>
      <c r="C26">
        <v>1.1000000000000001</v>
      </c>
      <c r="D26">
        <v>0.6</v>
      </c>
      <c r="E26">
        <f t="shared" si="0"/>
        <v>0.02</v>
      </c>
      <c r="F26">
        <v>0.3</v>
      </c>
      <c r="G26">
        <v>62</v>
      </c>
      <c r="H26">
        <v>0</v>
      </c>
      <c r="I26">
        <v>30</v>
      </c>
    </row>
    <row r="27" spans="1:9" x14ac:dyDescent="0.3">
      <c r="A27" t="s">
        <v>1212</v>
      </c>
      <c r="B27" t="s">
        <v>1132</v>
      </c>
      <c r="C27">
        <v>0.88000000000000012</v>
      </c>
      <c r="D27">
        <v>0.5</v>
      </c>
      <c r="E27">
        <f t="shared" si="0"/>
        <v>0.02</v>
      </c>
      <c r="F27">
        <v>0.3</v>
      </c>
      <c r="G27">
        <v>62</v>
      </c>
      <c r="H27">
        <v>0</v>
      </c>
      <c r="I27">
        <v>30</v>
      </c>
    </row>
    <row r="28" spans="1:9" x14ac:dyDescent="0.3">
      <c r="A28" t="s">
        <v>1213</v>
      </c>
      <c r="B28" t="s">
        <v>1133</v>
      </c>
      <c r="C28">
        <v>1.9800000000000002</v>
      </c>
      <c r="D28">
        <v>0.65</v>
      </c>
      <c r="E28">
        <f t="shared" si="0"/>
        <v>0.89</v>
      </c>
      <c r="F28">
        <v>0.3</v>
      </c>
      <c r="G28">
        <v>62</v>
      </c>
      <c r="H28">
        <v>0</v>
      </c>
      <c r="I28">
        <v>30</v>
      </c>
    </row>
    <row r="29" spans="1:9" x14ac:dyDescent="0.3">
      <c r="A29" t="s">
        <v>1214</v>
      </c>
      <c r="B29" t="s">
        <v>1134</v>
      </c>
      <c r="C29">
        <v>1.2100000000000002</v>
      </c>
      <c r="D29">
        <v>0.6</v>
      </c>
      <c r="E29">
        <f t="shared" si="0"/>
        <v>0.89</v>
      </c>
      <c r="F29">
        <v>0.3</v>
      </c>
      <c r="G29">
        <v>62</v>
      </c>
      <c r="H29">
        <v>0</v>
      </c>
      <c r="I29">
        <v>30</v>
      </c>
    </row>
    <row r="30" spans="1:9" x14ac:dyDescent="0.3">
      <c r="A30" t="s">
        <v>1215</v>
      </c>
      <c r="B30" t="s">
        <v>1135</v>
      </c>
      <c r="C30">
        <v>0.88000000000000012</v>
      </c>
      <c r="D30">
        <v>0.5</v>
      </c>
      <c r="E30">
        <f t="shared" si="0"/>
        <v>0.02</v>
      </c>
      <c r="F30">
        <v>0.3</v>
      </c>
      <c r="G30">
        <v>62</v>
      </c>
      <c r="H30">
        <v>0</v>
      </c>
      <c r="I30">
        <v>30</v>
      </c>
    </row>
    <row r="31" spans="1:9" x14ac:dyDescent="0.3">
      <c r="A31" t="s">
        <v>1216</v>
      </c>
      <c r="B31" t="s">
        <v>1136</v>
      </c>
      <c r="C31">
        <v>1.54</v>
      </c>
      <c r="D31">
        <v>0.6</v>
      </c>
      <c r="E31">
        <f t="shared" si="0"/>
        <v>0.89</v>
      </c>
      <c r="F31">
        <v>0.3</v>
      </c>
      <c r="G31">
        <v>62</v>
      </c>
      <c r="H31">
        <v>0</v>
      </c>
      <c r="I31">
        <v>30</v>
      </c>
    </row>
    <row r="32" spans="1:9" x14ac:dyDescent="0.3">
      <c r="A32" t="s">
        <v>1217</v>
      </c>
      <c r="B32" t="s">
        <v>1137</v>
      </c>
      <c r="C32">
        <v>0.77</v>
      </c>
      <c r="D32">
        <v>0.5</v>
      </c>
      <c r="E32">
        <f t="shared" si="0"/>
        <v>0.02</v>
      </c>
      <c r="F32">
        <v>0.3</v>
      </c>
      <c r="G32">
        <v>62</v>
      </c>
      <c r="H32">
        <v>0</v>
      </c>
      <c r="I32">
        <v>30</v>
      </c>
    </row>
    <row r="33" spans="1:9" x14ac:dyDescent="0.3">
      <c r="A33" t="s">
        <v>1218</v>
      </c>
      <c r="B33" t="s">
        <v>1138</v>
      </c>
      <c r="C33">
        <v>2.4200000000000004</v>
      </c>
      <c r="D33">
        <v>0.65</v>
      </c>
      <c r="E33">
        <f t="shared" si="0"/>
        <v>0.89</v>
      </c>
      <c r="F33">
        <v>0.3</v>
      </c>
      <c r="G33">
        <v>62</v>
      </c>
      <c r="H33">
        <v>0</v>
      </c>
      <c r="I33">
        <v>30</v>
      </c>
    </row>
    <row r="34" spans="1:9" x14ac:dyDescent="0.3">
      <c r="A34" t="s">
        <v>1219</v>
      </c>
      <c r="B34" t="s">
        <v>1139</v>
      </c>
      <c r="C34">
        <v>1.2100000000000002</v>
      </c>
      <c r="D34">
        <v>0.6</v>
      </c>
      <c r="E34">
        <f t="shared" si="0"/>
        <v>0.89</v>
      </c>
      <c r="F34">
        <v>0.3</v>
      </c>
      <c r="G34">
        <v>62</v>
      </c>
      <c r="H34">
        <v>0</v>
      </c>
      <c r="I34">
        <v>30</v>
      </c>
    </row>
    <row r="35" spans="1:9" x14ac:dyDescent="0.3">
      <c r="A35" t="s">
        <v>1220</v>
      </c>
      <c r="B35" t="s">
        <v>1140</v>
      </c>
      <c r="C35">
        <v>0.9900000000000001</v>
      </c>
      <c r="D35">
        <v>0.5</v>
      </c>
      <c r="E35">
        <f t="shared" si="0"/>
        <v>0.02</v>
      </c>
      <c r="F35">
        <v>0.3</v>
      </c>
      <c r="G35">
        <v>62</v>
      </c>
      <c r="H35">
        <v>0</v>
      </c>
      <c r="I35">
        <v>30</v>
      </c>
    </row>
    <row r="36" spans="1:9" x14ac:dyDescent="0.3">
      <c r="A36" t="s">
        <v>1221</v>
      </c>
      <c r="B36" t="s">
        <v>1141</v>
      </c>
      <c r="C36">
        <v>2.4640000000000004</v>
      </c>
      <c r="D36">
        <v>0.65</v>
      </c>
      <c r="E36">
        <f t="shared" si="0"/>
        <v>0.89</v>
      </c>
      <c r="F36">
        <v>0.3</v>
      </c>
      <c r="G36">
        <v>62</v>
      </c>
      <c r="H36">
        <v>0</v>
      </c>
      <c r="I36">
        <v>30</v>
      </c>
    </row>
    <row r="37" spans="1:9" x14ac:dyDescent="0.3">
      <c r="A37" t="s">
        <v>1222</v>
      </c>
      <c r="B37" t="s">
        <v>1142</v>
      </c>
      <c r="C37">
        <v>1.2100000000000002</v>
      </c>
      <c r="D37">
        <v>0.6</v>
      </c>
      <c r="E37">
        <f t="shared" si="0"/>
        <v>0.89</v>
      </c>
      <c r="F37">
        <v>0.3</v>
      </c>
      <c r="G37">
        <v>62</v>
      </c>
      <c r="H37">
        <v>0</v>
      </c>
      <c r="I37">
        <v>30</v>
      </c>
    </row>
    <row r="38" spans="1:9" x14ac:dyDescent="0.3">
      <c r="A38" t="s">
        <v>1223</v>
      </c>
      <c r="B38" t="s">
        <v>1143</v>
      </c>
      <c r="C38">
        <v>0.9900000000000001</v>
      </c>
      <c r="D38">
        <v>0.5</v>
      </c>
      <c r="E38">
        <f t="shared" si="0"/>
        <v>0.02</v>
      </c>
      <c r="F38">
        <v>0.3</v>
      </c>
      <c r="G38">
        <v>62</v>
      </c>
      <c r="H38">
        <v>0</v>
      </c>
      <c r="I38">
        <v>30</v>
      </c>
    </row>
    <row r="39" spans="1:9" x14ac:dyDescent="0.3">
      <c r="A39" t="s">
        <v>1224</v>
      </c>
      <c r="B39" t="s">
        <v>1144</v>
      </c>
      <c r="C39">
        <v>2.1890000000000001</v>
      </c>
      <c r="D39">
        <v>0.65</v>
      </c>
      <c r="E39">
        <f t="shared" si="0"/>
        <v>0.89</v>
      </c>
      <c r="F39">
        <v>0.3</v>
      </c>
      <c r="G39">
        <v>62</v>
      </c>
      <c r="H39">
        <v>0</v>
      </c>
      <c r="I39">
        <v>30</v>
      </c>
    </row>
    <row r="40" spans="1:9" x14ac:dyDescent="0.3">
      <c r="A40" t="s">
        <v>1225</v>
      </c>
      <c r="B40" t="s">
        <v>1145</v>
      </c>
      <c r="C40">
        <v>1.2100000000000002</v>
      </c>
      <c r="D40">
        <v>0.6</v>
      </c>
      <c r="E40">
        <f t="shared" si="0"/>
        <v>0.89</v>
      </c>
      <c r="F40">
        <v>0.3</v>
      </c>
      <c r="G40">
        <v>62</v>
      </c>
      <c r="H40">
        <v>0</v>
      </c>
      <c r="I40">
        <v>30</v>
      </c>
    </row>
    <row r="41" spans="1:9" x14ac:dyDescent="0.3">
      <c r="A41" t="s">
        <v>1226</v>
      </c>
      <c r="B41" t="s">
        <v>1146</v>
      </c>
      <c r="C41">
        <v>0.88000000000000012</v>
      </c>
      <c r="D41">
        <v>0.5</v>
      </c>
      <c r="E41">
        <f t="shared" si="0"/>
        <v>0.02</v>
      </c>
      <c r="F41">
        <v>0.3</v>
      </c>
      <c r="G41">
        <v>62</v>
      </c>
      <c r="H41">
        <v>0</v>
      </c>
      <c r="I41">
        <v>30</v>
      </c>
    </row>
    <row r="42" spans="1:9" x14ac:dyDescent="0.3">
      <c r="A42" t="s">
        <v>1227</v>
      </c>
      <c r="B42" t="s">
        <v>1147</v>
      </c>
      <c r="C42">
        <v>2.508</v>
      </c>
      <c r="D42">
        <v>0.65</v>
      </c>
      <c r="E42">
        <f t="shared" si="0"/>
        <v>0.89</v>
      </c>
      <c r="F42">
        <v>0.3</v>
      </c>
      <c r="G42">
        <v>62</v>
      </c>
      <c r="H42">
        <v>0</v>
      </c>
      <c r="I42">
        <v>30</v>
      </c>
    </row>
    <row r="43" spans="1:9" x14ac:dyDescent="0.3">
      <c r="A43" t="s">
        <v>1228</v>
      </c>
      <c r="B43" t="s">
        <v>1148</v>
      </c>
      <c r="C43">
        <v>1.2100000000000002</v>
      </c>
      <c r="D43">
        <v>0.6</v>
      </c>
      <c r="E43">
        <f t="shared" si="0"/>
        <v>0.89</v>
      </c>
      <c r="F43">
        <v>0.3</v>
      </c>
      <c r="G43">
        <v>62</v>
      </c>
      <c r="H43">
        <v>0</v>
      </c>
      <c r="I43">
        <v>30</v>
      </c>
    </row>
    <row r="44" spans="1:9" x14ac:dyDescent="0.3">
      <c r="A44" t="s">
        <v>1229</v>
      </c>
      <c r="B44" t="s">
        <v>1149</v>
      </c>
      <c r="C44">
        <v>0.9900000000000001</v>
      </c>
      <c r="D44">
        <v>0.5</v>
      </c>
      <c r="E44">
        <f t="shared" si="0"/>
        <v>0.02</v>
      </c>
      <c r="F44">
        <v>0.3</v>
      </c>
      <c r="G44">
        <v>62</v>
      </c>
      <c r="H44">
        <v>0</v>
      </c>
      <c r="I44">
        <v>30</v>
      </c>
    </row>
    <row r="45" spans="1:9" x14ac:dyDescent="0.3">
      <c r="A45" t="s">
        <v>1230</v>
      </c>
      <c r="B45" t="s">
        <v>1150</v>
      </c>
      <c r="C45">
        <v>2.3100000000000005</v>
      </c>
      <c r="D45">
        <v>0.65</v>
      </c>
      <c r="E45">
        <f t="shared" si="0"/>
        <v>0.89</v>
      </c>
      <c r="F45">
        <v>0.3</v>
      </c>
      <c r="G45">
        <v>62</v>
      </c>
      <c r="H45">
        <v>0</v>
      </c>
      <c r="I45">
        <v>30</v>
      </c>
    </row>
    <row r="46" spans="1:9" x14ac:dyDescent="0.3">
      <c r="A46" t="s">
        <v>1231</v>
      </c>
      <c r="B46" t="s">
        <v>1151</v>
      </c>
      <c r="C46">
        <v>1.2100000000000002</v>
      </c>
      <c r="D46">
        <v>0.6</v>
      </c>
      <c r="E46">
        <f t="shared" si="0"/>
        <v>0.89</v>
      </c>
      <c r="F46">
        <v>0.3</v>
      </c>
      <c r="G46">
        <v>62</v>
      </c>
      <c r="H46">
        <v>0</v>
      </c>
      <c r="I46">
        <v>30</v>
      </c>
    </row>
    <row r="47" spans="1:9" x14ac:dyDescent="0.3">
      <c r="A47" t="s">
        <v>1232</v>
      </c>
      <c r="B47" t="s">
        <v>1152</v>
      </c>
      <c r="C47">
        <v>0.9900000000000001</v>
      </c>
      <c r="D47">
        <v>0.5</v>
      </c>
      <c r="E47">
        <f t="shared" si="0"/>
        <v>0.02</v>
      </c>
      <c r="F47">
        <v>0.3</v>
      </c>
      <c r="G47">
        <v>62</v>
      </c>
      <c r="H47">
        <v>0</v>
      </c>
      <c r="I47">
        <v>30</v>
      </c>
    </row>
    <row r="48" spans="1:9" x14ac:dyDescent="0.3">
      <c r="A48" t="s">
        <v>1233</v>
      </c>
      <c r="B48" t="s">
        <v>1153</v>
      </c>
      <c r="C48">
        <v>1.518</v>
      </c>
      <c r="D48">
        <v>0.65</v>
      </c>
      <c r="E48">
        <f t="shared" si="0"/>
        <v>0.89</v>
      </c>
      <c r="F48">
        <v>0.3</v>
      </c>
      <c r="G48">
        <v>62</v>
      </c>
      <c r="H48">
        <v>0</v>
      </c>
      <c r="I48">
        <v>30</v>
      </c>
    </row>
    <row r="49" spans="1:9" x14ac:dyDescent="0.3">
      <c r="A49" t="s">
        <v>1234</v>
      </c>
      <c r="B49" t="s">
        <v>1154</v>
      </c>
      <c r="C49">
        <v>1.2100000000000002</v>
      </c>
      <c r="D49">
        <v>0.6</v>
      </c>
      <c r="E49">
        <f t="shared" si="0"/>
        <v>0.89</v>
      </c>
      <c r="F49">
        <v>0.3</v>
      </c>
      <c r="G49">
        <v>62</v>
      </c>
      <c r="H49">
        <v>0</v>
      </c>
      <c r="I49">
        <v>30</v>
      </c>
    </row>
    <row r="50" spans="1:9" x14ac:dyDescent="0.3">
      <c r="A50" t="s">
        <v>1235</v>
      </c>
      <c r="B50" t="s">
        <v>1155</v>
      </c>
      <c r="C50">
        <v>0.88000000000000012</v>
      </c>
      <c r="D50">
        <v>0.5</v>
      </c>
      <c r="E50">
        <f t="shared" si="0"/>
        <v>0.02</v>
      </c>
      <c r="F50">
        <v>0.3</v>
      </c>
      <c r="G50">
        <v>62</v>
      </c>
      <c r="H50">
        <v>0</v>
      </c>
      <c r="I50">
        <v>30</v>
      </c>
    </row>
    <row r="51" spans="1:9" x14ac:dyDescent="0.3">
      <c r="A51" t="s">
        <v>1236</v>
      </c>
      <c r="B51" t="s">
        <v>1156</v>
      </c>
      <c r="C51">
        <v>1.32</v>
      </c>
      <c r="D51">
        <v>0.6</v>
      </c>
      <c r="E51">
        <f t="shared" si="0"/>
        <v>0.89</v>
      </c>
      <c r="F51">
        <v>0.3</v>
      </c>
      <c r="G51">
        <v>62</v>
      </c>
      <c r="H51">
        <v>0</v>
      </c>
      <c r="I51">
        <v>30</v>
      </c>
    </row>
    <row r="52" spans="1:9" x14ac:dyDescent="0.3">
      <c r="A52" t="s">
        <v>1237</v>
      </c>
      <c r="B52" t="s">
        <v>1157</v>
      </c>
      <c r="C52">
        <v>0.77</v>
      </c>
      <c r="D52">
        <v>0.5</v>
      </c>
      <c r="E52">
        <f t="shared" si="0"/>
        <v>0.02</v>
      </c>
      <c r="F52">
        <v>0.3</v>
      </c>
      <c r="G52">
        <v>62</v>
      </c>
      <c r="H52">
        <v>0</v>
      </c>
      <c r="I52">
        <v>30</v>
      </c>
    </row>
    <row r="53" spans="1:9" x14ac:dyDescent="0.3">
      <c r="A53" t="s">
        <v>1238</v>
      </c>
      <c r="B53" t="s">
        <v>1158</v>
      </c>
      <c r="C53">
        <v>1.8480000000000001</v>
      </c>
      <c r="D53">
        <v>0.65</v>
      </c>
      <c r="E53">
        <f t="shared" si="0"/>
        <v>0.89</v>
      </c>
      <c r="F53">
        <v>0.3</v>
      </c>
      <c r="G53">
        <v>62</v>
      </c>
      <c r="H53">
        <v>0</v>
      </c>
      <c r="I53">
        <v>30</v>
      </c>
    </row>
    <row r="54" spans="1:9" x14ac:dyDescent="0.3">
      <c r="A54" t="s">
        <v>1239</v>
      </c>
      <c r="B54" t="s">
        <v>1159</v>
      </c>
      <c r="C54">
        <v>1.2100000000000002</v>
      </c>
      <c r="D54">
        <v>0.6</v>
      </c>
      <c r="E54">
        <f t="shared" si="0"/>
        <v>0.89</v>
      </c>
      <c r="F54">
        <v>0.3</v>
      </c>
      <c r="G54">
        <v>62</v>
      </c>
      <c r="H54">
        <v>0</v>
      </c>
      <c r="I54">
        <v>30</v>
      </c>
    </row>
    <row r="55" spans="1:9" x14ac:dyDescent="0.3">
      <c r="A55" t="s">
        <v>1240</v>
      </c>
      <c r="B55" t="s">
        <v>1160</v>
      </c>
      <c r="C55">
        <v>0.88000000000000012</v>
      </c>
      <c r="D55">
        <v>0.5</v>
      </c>
      <c r="E55">
        <f t="shared" si="0"/>
        <v>0.02</v>
      </c>
      <c r="F55">
        <v>0.3</v>
      </c>
      <c r="G55">
        <v>62</v>
      </c>
      <c r="H55">
        <v>0</v>
      </c>
      <c r="I55">
        <v>30</v>
      </c>
    </row>
    <row r="56" spans="1:9" x14ac:dyDescent="0.3">
      <c r="A56" t="s">
        <v>1241</v>
      </c>
      <c r="B56" t="s">
        <v>1161</v>
      </c>
      <c r="C56">
        <v>1.7050000000000003</v>
      </c>
      <c r="D56">
        <v>0.65</v>
      </c>
      <c r="E56">
        <f t="shared" si="0"/>
        <v>0.89</v>
      </c>
      <c r="F56">
        <v>0.3</v>
      </c>
      <c r="G56">
        <v>62</v>
      </c>
      <c r="H56">
        <v>0</v>
      </c>
      <c r="I56">
        <v>30</v>
      </c>
    </row>
    <row r="57" spans="1:9" x14ac:dyDescent="0.3">
      <c r="A57" t="s">
        <v>1242</v>
      </c>
      <c r="B57" t="s">
        <v>1162</v>
      </c>
      <c r="C57">
        <v>1.32</v>
      </c>
      <c r="D57">
        <v>0.6</v>
      </c>
      <c r="E57">
        <f t="shared" si="0"/>
        <v>0.89</v>
      </c>
      <c r="F57">
        <v>0.3</v>
      </c>
      <c r="G57">
        <v>62</v>
      </c>
      <c r="H57">
        <v>0</v>
      </c>
      <c r="I57">
        <v>30</v>
      </c>
    </row>
    <row r="58" spans="1:9" x14ac:dyDescent="0.3">
      <c r="A58" t="s">
        <v>1243</v>
      </c>
      <c r="B58" t="s">
        <v>1163</v>
      </c>
      <c r="C58">
        <v>1.1000000000000001</v>
      </c>
      <c r="D58">
        <v>0.5</v>
      </c>
      <c r="E58">
        <f t="shared" si="0"/>
        <v>0.02</v>
      </c>
      <c r="F58">
        <v>0.3</v>
      </c>
      <c r="G58">
        <v>62</v>
      </c>
      <c r="H58">
        <v>0</v>
      </c>
      <c r="I58">
        <v>30</v>
      </c>
    </row>
    <row r="59" spans="1:9" x14ac:dyDescent="0.3">
      <c r="A59" t="s">
        <v>1244</v>
      </c>
      <c r="B59" t="s">
        <v>1164</v>
      </c>
      <c r="C59">
        <v>2.75</v>
      </c>
      <c r="D59">
        <v>0.65</v>
      </c>
      <c r="E59">
        <f t="shared" si="0"/>
        <v>0.89</v>
      </c>
      <c r="F59">
        <v>0.3</v>
      </c>
      <c r="G59">
        <v>62</v>
      </c>
      <c r="H59">
        <v>0</v>
      </c>
      <c r="I59">
        <v>30</v>
      </c>
    </row>
    <row r="60" spans="1:9" x14ac:dyDescent="0.3">
      <c r="A60" t="s">
        <v>1245</v>
      </c>
      <c r="B60" t="s">
        <v>1165</v>
      </c>
      <c r="C60">
        <v>1.32</v>
      </c>
      <c r="D60">
        <v>0.6</v>
      </c>
      <c r="E60">
        <f t="shared" si="0"/>
        <v>0.89</v>
      </c>
      <c r="F60">
        <v>0.3</v>
      </c>
      <c r="G60">
        <v>62</v>
      </c>
      <c r="H60">
        <v>0</v>
      </c>
      <c r="I60">
        <v>30</v>
      </c>
    </row>
    <row r="61" spans="1:9" x14ac:dyDescent="0.3">
      <c r="A61" t="s">
        <v>1246</v>
      </c>
      <c r="B61" t="s">
        <v>1166</v>
      </c>
      <c r="C61">
        <v>1.32</v>
      </c>
      <c r="D61">
        <v>0.5</v>
      </c>
      <c r="E61">
        <f t="shared" si="0"/>
        <v>0.89</v>
      </c>
      <c r="F61">
        <v>0.3</v>
      </c>
      <c r="G61">
        <v>62</v>
      </c>
      <c r="H61">
        <v>0</v>
      </c>
      <c r="I61">
        <v>30</v>
      </c>
    </row>
    <row r="62" spans="1:9" x14ac:dyDescent="0.3">
      <c r="A62" t="s">
        <v>1247</v>
      </c>
      <c r="B62" t="s">
        <v>1167</v>
      </c>
      <c r="C62">
        <v>1.254</v>
      </c>
      <c r="D62">
        <v>0.65</v>
      </c>
      <c r="E62">
        <f t="shared" si="0"/>
        <v>0.89</v>
      </c>
      <c r="F62">
        <v>0.3</v>
      </c>
      <c r="G62">
        <v>62</v>
      </c>
      <c r="H62">
        <v>0</v>
      </c>
      <c r="I62">
        <v>30</v>
      </c>
    </row>
    <row r="63" spans="1:9" x14ac:dyDescent="0.3">
      <c r="A63" t="s">
        <v>1248</v>
      </c>
      <c r="B63" t="s">
        <v>1168</v>
      </c>
      <c r="C63">
        <v>1.1000000000000001</v>
      </c>
      <c r="D63">
        <v>0.6</v>
      </c>
      <c r="E63">
        <f t="shared" si="0"/>
        <v>0.02</v>
      </c>
      <c r="F63">
        <v>0.3</v>
      </c>
      <c r="G63">
        <v>62</v>
      </c>
      <c r="H63">
        <v>0</v>
      </c>
      <c r="I63">
        <v>30</v>
      </c>
    </row>
    <row r="64" spans="1:9" x14ac:dyDescent="0.3">
      <c r="A64" t="s">
        <v>1249</v>
      </c>
      <c r="B64" t="s">
        <v>1169</v>
      </c>
      <c r="C64">
        <v>0.88000000000000012</v>
      </c>
      <c r="D64">
        <v>0.5</v>
      </c>
      <c r="E64">
        <f t="shared" si="0"/>
        <v>0.02</v>
      </c>
      <c r="F64">
        <v>0.3</v>
      </c>
      <c r="G64">
        <v>62</v>
      </c>
      <c r="H64">
        <v>0</v>
      </c>
      <c r="I64">
        <v>30</v>
      </c>
    </row>
    <row r="65" spans="1:9" x14ac:dyDescent="0.3">
      <c r="A65" t="s">
        <v>1250</v>
      </c>
      <c r="B65" t="s">
        <v>1170</v>
      </c>
      <c r="C65">
        <v>2.6290000000000004</v>
      </c>
      <c r="D65">
        <v>0.65</v>
      </c>
      <c r="E65">
        <f t="shared" si="0"/>
        <v>0.89</v>
      </c>
      <c r="F65">
        <v>0.3</v>
      </c>
      <c r="G65">
        <v>62</v>
      </c>
      <c r="H65">
        <v>0</v>
      </c>
      <c r="I65">
        <v>30</v>
      </c>
    </row>
    <row r="66" spans="1:9" x14ac:dyDescent="0.3">
      <c r="A66" t="s">
        <v>1251</v>
      </c>
      <c r="B66" t="s">
        <v>1171</v>
      </c>
      <c r="C66">
        <v>2.6290000000000004</v>
      </c>
      <c r="D66">
        <v>0.6</v>
      </c>
      <c r="E66">
        <f t="shared" si="0"/>
        <v>0.89</v>
      </c>
      <c r="F66">
        <v>0.3</v>
      </c>
      <c r="G66">
        <v>62</v>
      </c>
      <c r="H66">
        <v>0</v>
      </c>
      <c r="I66">
        <v>30</v>
      </c>
    </row>
    <row r="67" spans="1:9" x14ac:dyDescent="0.3">
      <c r="A67" t="s">
        <v>1252</v>
      </c>
      <c r="B67" t="s">
        <v>1172</v>
      </c>
      <c r="C67">
        <v>1.1000000000000001</v>
      </c>
      <c r="D67">
        <v>0.5</v>
      </c>
      <c r="E67">
        <f t="shared" si="0"/>
        <v>0.02</v>
      </c>
      <c r="F67">
        <v>0.3</v>
      </c>
      <c r="G67">
        <v>62</v>
      </c>
      <c r="H67">
        <v>0</v>
      </c>
      <c r="I67">
        <v>30</v>
      </c>
    </row>
    <row r="68" spans="1:9" x14ac:dyDescent="0.3">
      <c r="A68" t="s">
        <v>1253</v>
      </c>
      <c r="B68" t="s">
        <v>1173</v>
      </c>
      <c r="C68">
        <v>1.6610000000000003</v>
      </c>
      <c r="D68">
        <v>0.65</v>
      </c>
      <c r="E68">
        <f t="shared" si="0"/>
        <v>0.89</v>
      </c>
      <c r="F68">
        <v>0.3</v>
      </c>
      <c r="G68">
        <v>62</v>
      </c>
      <c r="H68">
        <v>0</v>
      </c>
      <c r="I68">
        <v>30</v>
      </c>
    </row>
    <row r="69" spans="1:9" x14ac:dyDescent="0.3">
      <c r="A69" t="s">
        <v>1254</v>
      </c>
      <c r="B69" t="s">
        <v>1174</v>
      </c>
      <c r="C69">
        <v>1.6610000000000003</v>
      </c>
      <c r="D69">
        <v>0.6</v>
      </c>
      <c r="E69">
        <f t="shared" si="0"/>
        <v>0.89</v>
      </c>
      <c r="F69">
        <v>0.3</v>
      </c>
      <c r="G69">
        <v>62</v>
      </c>
      <c r="H69">
        <v>0</v>
      </c>
      <c r="I69">
        <v>30</v>
      </c>
    </row>
    <row r="70" spans="1:9" x14ac:dyDescent="0.3">
      <c r="A70" t="s">
        <v>1255</v>
      </c>
      <c r="B70" t="s">
        <v>1175</v>
      </c>
      <c r="C70">
        <v>1.6610000000000003</v>
      </c>
      <c r="D70">
        <v>0.5</v>
      </c>
      <c r="E70">
        <f t="shared" si="0"/>
        <v>0.89</v>
      </c>
      <c r="F70">
        <v>0.3</v>
      </c>
      <c r="G70">
        <v>62</v>
      </c>
      <c r="H70">
        <v>0</v>
      </c>
      <c r="I70">
        <v>30</v>
      </c>
    </row>
    <row r="71" spans="1:9" x14ac:dyDescent="0.3">
      <c r="A71" t="s">
        <v>1256</v>
      </c>
      <c r="B71" t="s">
        <v>1176</v>
      </c>
      <c r="C71">
        <v>1.2100000000000002</v>
      </c>
      <c r="D71">
        <v>0.6</v>
      </c>
      <c r="E71">
        <f t="shared" si="0"/>
        <v>0.89</v>
      </c>
      <c r="F71">
        <v>0.3</v>
      </c>
      <c r="G71">
        <v>62</v>
      </c>
      <c r="H71">
        <v>0</v>
      </c>
      <c r="I71">
        <v>30</v>
      </c>
    </row>
    <row r="72" spans="1:9" x14ac:dyDescent="0.3">
      <c r="A72" t="s">
        <v>1257</v>
      </c>
      <c r="B72" t="s">
        <v>1177</v>
      </c>
      <c r="C72">
        <v>0.77</v>
      </c>
      <c r="D72">
        <v>0.5</v>
      </c>
      <c r="E72">
        <f t="shared" si="0"/>
        <v>0.02</v>
      </c>
      <c r="F72">
        <v>0.3</v>
      </c>
      <c r="G72">
        <v>62</v>
      </c>
      <c r="H72">
        <v>0</v>
      </c>
      <c r="I72">
        <v>30</v>
      </c>
    </row>
    <row r="73" spans="1:9" x14ac:dyDescent="0.3">
      <c r="A73" t="s">
        <v>1258</v>
      </c>
      <c r="B73" t="s">
        <v>1178</v>
      </c>
      <c r="C73">
        <v>3.4100000000000006</v>
      </c>
      <c r="D73">
        <v>0.65</v>
      </c>
      <c r="E73">
        <f t="shared" si="0"/>
        <v>0.89</v>
      </c>
      <c r="F73">
        <v>0.3</v>
      </c>
      <c r="G73">
        <v>62</v>
      </c>
      <c r="H73">
        <v>0</v>
      </c>
      <c r="I73">
        <v>30</v>
      </c>
    </row>
    <row r="74" spans="1:9" x14ac:dyDescent="0.3">
      <c r="A74" t="s">
        <v>1259</v>
      </c>
      <c r="B74" t="s">
        <v>1179</v>
      </c>
      <c r="C74">
        <v>1.2100000000000002</v>
      </c>
      <c r="D74">
        <v>0.6</v>
      </c>
      <c r="E74">
        <f t="shared" si="0"/>
        <v>0.89</v>
      </c>
      <c r="F74">
        <v>0.3</v>
      </c>
      <c r="G74">
        <v>62</v>
      </c>
      <c r="H74">
        <v>0</v>
      </c>
      <c r="I74">
        <v>30</v>
      </c>
    </row>
    <row r="75" spans="1:9" x14ac:dyDescent="0.3">
      <c r="A75" t="s">
        <v>1260</v>
      </c>
      <c r="B75" t="s">
        <v>1180</v>
      </c>
      <c r="C75">
        <v>0.9900000000000001</v>
      </c>
      <c r="D75">
        <v>0.5</v>
      </c>
      <c r="E75">
        <f t="shared" si="0"/>
        <v>0.02</v>
      </c>
      <c r="F75">
        <v>0.3</v>
      </c>
      <c r="G75">
        <v>62</v>
      </c>
      <c r="H75">
        <v>0</v>
      </c>
      <c r="I75">
        <v>30</v>
      </c>
    </row>
    <row r="76" spans="1:9" x14ac:dyDescent="0.3">
      <c r="A76" t="s">
        <v>1261</v>
      </c>
      <c r="B76" t="s">
        <v>1181</v>
      </c>
      <c r="C76">
        <v>2.5299999999999998</v>
      </c>
      <c r="D76">
        <v>0.65</v>
      </c>
      <c r="E76">
        <f t="shared" si="0"/>
        <v>0.89</v>
      </c>
      <c r="F76">
        <v>0.3</v>
      </c>
      <c r="G76">
        <v>62</v>
      </c>
      <c r="H76">
        <v>0</v>
      </c>
      <c r="I76">
        <v>30</v>
      </c>
    </row>
    <row r="77" spans="1:9" x14ac:dyDescent="0.3">
      <c r="A77" t="s">
        <v>1262</v>
      </c>
      <c r="B77" t="s">
        <v>1182</v>
      </c>
      <c r="C77">
        <v>1.2100000000000002</v>
      </c>
      <c r="D77">
        <v>0.6</v>
      </c>
      <c r="E77">
        <f t="shared" si="0"/>
        <v>0.89</v>
      </c>
      <c r="F77">
        <v>0.3</v>
      </c>
      <c r="G77">
        <v>62</v>
      </c>
      <c r="H77">
        <v>0</v>
      </c>
      <c r="I77">
        <v>30</v>
      </c>
    </row>
    <row r="78" spans="1:9" x14ac:dyDescent="0.3">
      <c r="A78" t="s">
        <v>1263</v>
      </c>
      <c r="B78" t="s">
        <v>1183</v>
      </c>
      <c r="C78">
        <v>0.9900000000000001</v>
      </c>
      <c r="D78">
        <v>0.5</v>
      </c>
      <c r="E78">
        <f t="shared" ref="E78:E92" si="1">IF(C78&gt;1.2,0.89,0.02)</f>
        <v>0.02</v>
      </c>
      <c r="F78">
        <v>0.3</v>
      </c>
      <c r="G78">
        <v>62</v>
      </c>
      <c r="H78">
        <v>0</v>
      </c>
      <c r="I78">
        <v>30</v>
      </c>
    </row>
    <row r="79" spans="1:9" x14ac:dyDescent="0.3">
      <c r="A79" t="s">
        <v>1264</v>
      </c>
      <c r="B79" t="s">
        <v>1184</v>
      </c>
      <c r="C79">
        <v>2.5299999999999998</v>
      </c>
      <c r="D79">
        <v>0.65</v>
      </c>
      <c r="E79">
        <f t="shared" si="1"/>
        <v>0.89</v>
      </c>
      <c r="F79">
        <v>0.3</v>
      </c>
      <c r="G79">
        <v>62</v>
      </c>
      <c r="H79">
        <v>0</v>
      </c>
      <c r="I79">
        <v>30</v>
      </c>
    </row>
    <row r="80" spans="1:9" x14ac:dyDescent="0.3">
      <c r="A80" t="s">
        <v>1265</v>
      </c>
      <c r="B80" t="s">
        <v>1185</v>
      </c>
      <c r="C80">
        <v>1.2100000000000002</v>
      </c>
      <c r="D80">
        <v>0.6</v>
      </c>
      <c r="E80">
        <f t="shared" si="1"/>
        <v>0.89</v>
      </c>
      <c r="F80">
        <v>0.3</v>
      </c>
      <c r="G80">
        <v>62</v>
      </c>
      <c r="H80">
        <v>0</v>
      </c>
      <c r="I80">
        <v>30</v>
      </c>
    </row>
    <row r="81" spans="1:9" x14ac:dyDescent="0.3">
      <c r="A81" t="s">
        <v>1266</v>
      </c>
      <c r="B81" t="s">
        <v>1186</v>
      </c>
      <c r="C81">
        <v>0.9900000000000001</v>
      </c>
      <c r="D81">
        <v>0.5</v>
      </c>
      <c r="E81">
        <f t="shared" si="1"/>
        <v>0.02</v>
      </c>
      <c r="F81">
        <v>0.3</v>
      </c>
      <c r="G81">
        <v>62</v>
      </c>
      <c r="H81">
        <v>0</v>
      </c>
      <c r="I81">
        <v>30</v>
      </c>
    </row>
    <row r="82" spans="1:9" x14ac:dyDescent="0.3">
      <c r="A82" t="s">
        <v>1267</v>
      </c>
      <c r="B82" t="s">
        <v>1187</v>
      </c>
      <c r="C82">
        <v>1.9360000000000002</v>
      </c>
      <c r="D82">
        <v>0.65</v>
      </c>
      <c r="E82">
        <f t="shared" si="1"/>
        <v>0.89</v>
      </c>
      <c r="F82">
        <v>0.3</v>
      </c>
      <c r="G82">
        <v>62</v>
      </c>
      <c r="H82">
        <v>0</v>
      </c>
      <c r="I82">
        <v>30</v>
      </c>
    </row>
    <row r="83" spans="1:9" x14ac:dyDescent="0.3">
      <c r="A83" t="s">
        <v>1268</v>
      </c>
      <c r="B83" t="s">
        <v>1188</v>
      </c>
      <c r="C83">
        <v>1.2100000000000002</v>
      </c>
      <c r="D83">
        <v>0.6</v>
      </c>
      <c r="E83">
        <f t="shared" si="1"/>
        <v>0.89</v>
      </c>
      <c r="F83">
        <v>0.3</v>
      </c>
      <c r="G83">
        <v>62</v>
      </c>
      <c r="H83">
        <v>0</v>
      </c>
      <c r="I83">
        <v>30</v>
      </c>
    </row>
    <row r="84" spans="1:9" x14ac:dyDescent="0.3">
      <c r="A84" t="s">
        <v>1269</v>
      </c>
      <c r="B84" t="s">
        <v>1189</v>
      </c>
      <c r="C84">
        <v>0.9900000000000001</v>
      </c>
      <c r="D84">
        <v>0.5</v>
      </c>
      <c r="E84">
        <f t="shared" si="1"/>
        <v>0.02</v>
      </c>
      <c r="F84">
        <v>0.3</v>
      </c>
      <c r="G84">
        <v>62</v>
      </c>
      <c r="H84">
        <v>0</v>
      </c>
      <c r="I84">
        <v>30</v>
      </c>
    </row>
    <row r="85" spans="1:9" x14ac:dyDescent="0.3">
      <c r="A85" t="s">
        <v>1270</v>
      </c>
      <c r="B85" t="s">
        <v>1190</v>
      </c>
      <c r="C85">
        <v>2.145</v>
      </c>
      <c r="D85">
        <v>0.65</v>
      </c>
      <c r="E85">
        <f t="shared" si="1"/>
        <v>0.89</v>
      </c>
      <c r="F85">
        <v>0.3</v>
      </c>
      <c r="G85">
        <v>62</v>
      </c>
      <c r="H85">
        <v>0</v>
      </c>
      <c r="I85">
        <v>30</v>
      </c>
    </row>
    <row r="86" spans="1:9" x14ac:dyDescent="0.3">
      <c r="A86" t="s">
        <v>1271</v>
      </c>
      <c r="B86" t="s">
        <v>1191</v>
      </c>
      <c r="C86">
        <v>1.2100000000000002</v>
      </c>
      <c r="D86">
        <v>0.6</v>
      </c>
      <c r="E86">
        <f t="shared" si="1"/>
        <v>0.89</v>
      </c>
      <c r="F86">
        <v>0.3</v>
      </c>
      <c r="G86">
        <v>62</v>
      </c>
      <c r="H86">
        <v>0</v>
      </c>
      <c r="I86">
        <v>30</v>
      </c>
    </row>
    <row r="87" spans="1:9" x14ac:dyDescent="0.3">
      <c r="A87" t="s">
        <v>1272</v>
      </c>
      <c r="B87" t="s">
        <v>1192</v>
      </c>
      <c r="C87">
        <v>0.9900000000000001</v>
      </c>
      <c r="D87">
        <v>0.5</v>
      </c>
      <c r="E87">
        <f t="shared" si="1"/>
        <v>0.02</v>
      </c>
      <c r="F87">
        <v>0.3</v>
      </c>
      <c r="G87">
        <v>62</v>
      </c>
      <c r="H87">
        <v>0</v>
      </c>
      <c r="I87">
        <v>30</v>
      </c>
    </row>
    <row r="88" spans="1:9" x14ac:dyDescent="0.3">
      <c r="A88" t="s">
        <v>1273</v>
      </c>
      <c r="B88" t="s">
        <v>1193</v>
      </c>
      <c r="C88">
        <v>1.8260000000000001</v>
      </c>
      <c r="D88">
        <v>0.65</v>
      </c>
      <c r="E88">
        <f t="shared" si="1"/>
        <v>0.89</v>
      </c>
      <c r="F88">
        <v>0.3</v>
      </c>
      <c r="G88">
        <v>62</v>
      </c>
      <c r="H88">
        <v>0</v>
      </c>
      <c r="I88">
        <v>30</v>
      </c>
    </row>
    <row r="89" spans="1:9" x14ac:dyDescent="0.3">
      <c r="A89" t="s">
        <v>1274</v>
      </c>
      <c r="B89" t="s">
        <v>1194</v>
      </c>
      <c r="C89">
        <v>1.8260000000000001</v>
      </c>
      <c r="D89">
        <v>0.6</v>
      </c>
      <c r="E89">
        <f t="shared" si="1"/>
        <v>0.89</v>
      </c>
      <c r="F89">
        <v>0.3</v>
      </c>
      <c r="G89">
        <v>62</v>
      </c>
      <c r="H89">
        <v>0</v>
      </c>
      <c r="I89">
        <v>30</v>
      </c>
    </row>
    <row r="90" spans="1:9" x14ac:dyDescent="0.3">
      <c r="A90" t="s">
        <v>1275</v>
      </c>
      <c r="B90" t="s">
        <v>1195</v>
      </c>
      <c r="C90">
        <v>0.9900000000000001</v>
      </c>
      <c r="D90">
        <v>0.5</v>
      </c>
      <c r="E90">
        <f t="shared" si="1"/>
        <v>0.02</v>
      </c>
      <c r="F90">
        <v>0.3</v>
      </c>
      <c r="G90">
        <v>62</v>
      </c>
      <c r="H90">
        <v>0</v>
      </c>
      <c r="I90">
        <v>30</v>
      </c>
    </row>
    <row r="91" spans="1:9" x14ac:dyDescent="0.3">
      <c r="A91" t="s">
        <v>1276</v>
      </c>
      <c r="B91" t="s">
        <v>1196</v>
      </c>
      <c r="C91">
        <v>1.32</v>
      </c>
      <c r="D91">
        <v>0.6</v>
      </c>
      <c r="E91">
        <f t="shared" si="1"/>
        <v>0.89</v>
      </c>
      <c r="F91">
        <v>0.3</v>
      </c>
      <c r="G91">
        <v>62</v>
      </c>
      <c r="H91">
        <v>0</v>
      </c>
      <c r="I91">
        <v>30</v>
      </c>
    </row>
    <row r="92" spans="1:9" x14ac:dyDescent="0.3">
      <c r="A92" t="s">
        <v>1277</v>
      </c>
      <c r="B92" t="s">
        <v>1197</v>
      </c>
      <c r="C92">
        <v>0.77</v>
      </c>
      <c r="D92">
        <v>0.5</v>
      </c>
      <c r="E92">
        <f t="shared" si="1"/>
        <v>0.02</v>
      </c>
      <c r="F92">
        <v>0.3</v>
      </c>
      <c r="G92">
        <v>62</v>
      </c>
      <c r="H92">
        <v>0</v>
      </c>
      <c r="I92">
        <v>30</v>
      </c>
    </row>
    <row r="93" spans="1:9" x14ac:dyDescent="0.3">
      <c r="A93" t="s">
        <v>1278</v>
      </c>
      <c r="B93" t="s">
        <v>922</v>
      </c>
      <c r="C93">
        <v>2.68</v>
      </c>
      <c r="D93">
        <v>0.75</v>
      </c>
      <c r="E93">
        <v>0.89</v>
      </c>
      <c r="F93">
        <v>0.3</v>
      </c>
      <c r="G93">
        <v>62</v>
      </c>
      <c r="H93">
        <v>0</v>
      </c>
      <c r="I93">
        <v>30</v>
      </c>
    </row>
    <row r="94" spans="1:9" x14ac:dyDescent="0.3">
      <c r="A94" t="s">
        <v>1279</v>
      </c>
      <c r="B94" t="s">
        <v>928</v>
      </c>
      <c r="C94">
        <v>1.89</v>
      </c>
      <c r="D94">
        <v>0.75</v>
      </c>
      <c r="E94">
        <v>0.89</v>
      </c>
      <c r="F94">
        <v>0.3</v>
      </c>
      <c r="G94">
        <v>62</v>
      </c>
      <c r="H94">
        <v>0</v>
      </c>
      <c r="I94">
        <v>30</v>
      </c>
    </row>
    <row r="95" spans="1:9" x14ac:dyDescent="0.3">
      <c r="A95" t="s">
        <v>1280</v>
      </c>
      <c r="B95" t="s">
        <v>933</v>
      </c>
      <c r="C95">
        <v>1.08</v>
      </c>
      <c r="D95">
        <v>0.67</v>
      </c>
      <c r="E95">
        <v>0.02</v>
      </c>
      <c r="F95">
        <v>0.3</v>
      </c>
      <c r="G95">
        <v>123</v>
      </c>
      <c r="H95">
        <v>0</v>
      </c>
      <c r="I95">
        <v>30</v>
      </c>
    </row>
    <row r="96" spans="1:9" x14ac:dyDescent="0.3">
      <c r="A96" t="s">
        <v>1281</v>
      </c>
      <c r="B96" t="s">
        <v>938</v>
      </c>
      <c r="C96">
        <v>3.1</v>
      </c>
      <c r="D96">
        <v>0.75</v>
      </c>
      <c r="E96">
        <v>0.89</v>
      </c>
      <c r="F96">
        <v>0.3</v>
      </c>
      <c r="G96">
        <v>62</v>
      </c>
      <c r="H96">
        <v>0</v>
      </c>
      <c r="I96">
        <v>30</v>
      </c>
    </row>
    <row r="97" spans="1:9" x14ac:dyDescent="0.3">
      <c r="A97" t="s">
        <v>1282</v>
      </c>
      <c r="B97" t="s">
        <v>943</v>
      </c>
      <c r="C97">
        <v>1.74</v>
      </c>
      <c r="D97">
        <v>0.75</v>
      </c>
      <c r="E97">
        <v>0.89</v>
      </c>
      <c r="F97">
        <v>0.3</v>
      </c>
      <c r="G97">
        <v>62</v>
      </c>
      <c r="H97">
        <v>0</v>
      </c>
      <c r="I97">
        <v>30</v>
      </c>
    </row>
    <row r="98" spans="1:9" x14ac:dyDescent="0.3">
      <c r="A98" t="s">
        <v>1283</v>
      </c>
      <c r="B98" t="s">
        <v>948</v>
      </c>
      <c r="C98">
        <v>1.24</v>
      </c>
      <c r="D98">
        <v>0.67</v>
      </c>
      <c r="E98">
        <v>0.02</v>
      </c>
      <c r="F98">
        <v>0.3</v>
      </c>
      <c r="G98">
        <v>123</v>
      </c>
      <c r="H98">
        <v>0</v>
      </c>
      <c r="I98">
        <v>30</v>
      </c>
    </row>
    <row r="99" spans="1:9" x14ac:dyDescent="0.3">
      <c r="A99" t="s">
        <v>1284</v>
      </c>
      <c r="B99" t="s">
        <v>953</v>
      </c>
      <c r="C99">
        <v>2.72</v>
      </c>
      <c r="D99">
        <v>0.75</v>
      </c>
      <c r="E99">
        <v>0.89</v>
      </c>
      <c r="F99">
        <v>0.3</v>
      </c>
      <c r="G99">
        <v>62</v>
      </c>
      <c r="H99">
        <v>0</v>
      </c>
      <c r="I99">
        <v>30</v>
      </c>
    </row>
    <row r="100" spans="1:9" x14ac:dyDescent="0.3">
      <c r="A100" t="s">
        <v>1285</v>
      </c>
      <c r="B100" t="s">
        <v>958</v>
      </c>
      <c r="C100">
        <v>2.2400000000000002</v>
      </c>
      <c r="D100">
        <v>0.75</v>
      </c>
      <c r="E100">
        <v>0.89</v>
      </c>
      <c r="F100">
        <v>0.3</v>
      </c>
      <c r="G100">
        <v>62</v>
      </c>
      <c r="H100">
        <v>0</v>
      </c>
      <c r="I100">
        <v>30</v>
      </c>
    </row>
    <row r="101" spans="1:9" x14ac:dyDescent="0.3">
      <c r="A101" t="s">
        <v>1286</v>
      </c>
      <c r="B101" t="s">
        <v>963</v>
      </c>
      <c r="C101">
        <v>1.25</v>
      </c>
      <c r="D101">
        <v>0.67</v>
      </c>
      <c r="E101">
        <v>0.02</v>
      </c>
      <c r="F101">
        <v>0.3</v>
      </c>
      <c r="G101">
        <v>123</v>
      </c>
      <c r="H101">
        <v>0</v>
      </c>
      <c r="I101">
        <v>30</v>
      </c>
    </row>
    <row r="102" spans="1:9" x14ac:dyDescent="0.3">
      <c r="A102" t="s">
        <v>1287</v>
      </c>
      <c r="B102" t="s">
        <v>968</v>
      </c>
      <c r="C102">
        <v>2.2200000000000002</v>
      </c>
      <c r="D102">
        <v>0.75</v>
      </c>
      <c r="E102">
        <v>0.89</v>
      </c>
      <c r="F102">
        <v>0.3</v>
      </c>
      <c r="G102">
        <v>62</v>
      </c>
      <c r="H102">
        <v>0</v>
      </c>
      <c r="I102">
        <v>30</v>
      </c>
    </row>
    <row r="103" spans="1:9" x14ac:dyDescent="0.3">
      <c r="A103" t="s">
        <v>1288</v>
      </c>
      <c r="B103" t="s">
        <v>973</v>
      </c>
      <c r="C103">
        <v>2.0499999999999998</v>
      </c>
      <c r="D103">
        <v>0.75</v>
      </c>
      <c r="E103">
        <v>0.89</v>
      </c>
      <c r="F103">
        <v>0.3</v>
      </c>
      <c r="G103">
        <v>62</v>
      </c>
      <c r="H103">
        <v>0</v>
      </c>
      <c r="I103">
        <v>30</v>
      </c>
    </row>
    <row r="104" spans="1:9" x14ac:dyDescent="0.3">
      <c r="A104" t="s">
        <v>1289</v>
      </c>
      <c r="B104" t="s">
        <v>978</v>
      </c>
      <c r="C104">
        <v>1.17</v>
      </c>
      <c r="D104">
        <v>0.67</v>
      </c>
      <c r="E104">
        <v>0.02</v>
      </c>
      <c r="F104">
        <v>0.3</v>
      </c>
      <c r="G104">
        <v>123</v>
      </c>
      <c r="H104">
        <v>0</v>
      </c>
      <c r="I104">
        <v>30</v>
      </c>
    </row>
    <row r="105" spans="1:9" x14ac:dyDescent="0.3">
      <c r="A105" t="s">
        <v>1290</v>
      </c>
      <c r="B105" t="s">
        <v>983</v>
      </c>
      <c r="C105">
        <v>2.56</v>
      </c>
      <c r="D105">
        <v>0.75</v>
      </c>
      <c r="E105">
        <v>0.89</v>
      </c>
      <c r="F105">
        <v>0.3</v>
      </c>
      <c r="G105">
        <v>62</v>
      </c>
      <c r="H105">
        <v>0</v>
      </c>
      <c r="I105">
        <v>30</v>
      </c>
    </row>
    <row r="106" spans="1:9" x14ac:dyDescent="0.3">
      <c r="A106" t="s">
        <v>1291</v>
      </c>
      <c r="B106" t="s">
        <v>988</v>
      </c>
      <c r="C106">
        <v>2.04</v>
      </c>
      <c r="D106">
        <v>0.75</v>
      </c>
      <c r="E106">
        <v>0.89</v>
      </c>
      <c r="F106">
        <v>0.3</v>
      </c>
      <c r="G106">
        <v>62</v>
      </c>
      <c r="H106">
        <v>0</v>
      </c>
      <c r="I106">
        <v>30</v>
      </c>
    </row>
    <row r="107" spans="1:9" x14ac:dyDescent="0.3">
      <c r="A107" t="s">
        <v>1292</v>
      </c>
      <c r="B107" t="s">
        <v>993</v>
      </c>
      <c r="C107">
        <v>0.96</v>
      </c>
      <c r="D107">
        <v>0.67</v>
      </c>
      <c r="E107">
        <v>0.02</v>
      </c>
      <c r="F107">
        <v>0.3</v>
      </c>
      <c r="G107">
        <v>123</v>
      </c>
      <c r="H107">
        <v>0</v>
      </c>
      <c r="I107">
        <v>30</v>
      </c>
    </row>
    <row r="108" spans="1:9" x14ac:dyDescent="0.3">
      <c r="A108" t="s">
        <v>1293</v>
      </c>
      <c r="B108" t="s">
        <v>998</v>
      </c>
      <c r="C108">
        <v>3.09</v>
      </c>
      <c r="D108">
        <v>0.75</v>
      </c>
      <c r="E108">
        <v>0.89</v>
      </c>
      <c r="F108">
        <v>0.3</v>
      </c>
      <c r="G108">
        <v>62</v>
      </c>
      <c r="H108">
        <v>0</v>
      </c>
      <c r="I108">
        <v>30</v>
      </c>
    </row>
    <row r="109" spans="1:9" x14ac:dyDescent="0.3">
      <c r="A109" t="s">
        <v>1294</v>
      </c>
      <c r="B109" t="s">
        <v>1003</v>
      </c>
      <c r="C109">
        <v>2.56</v>
      </c>
      <c r="D109">
        <v>0.75</v>
      </c>
      <c r="E109">
        <v>0.89</v>
      </c>
      <c r="F109">
        <v>0.3</v>
      </c>
      <c r="G109">
        <v>62</v>
      </c>
      <c r="H109">
        <v>0</v>
      </c>
      <c r="I109">
        <v>30</v>
      </c>
    </row>
    <row r="110" spans="1:9" x14ac:dyDescent="0.3">
      <c r="A110" t="s">
        <v>1295</v>
      </c>
      <c r="B110" t="s">
        <v>1008</v>
      </c>
      <c r="C110">
        <v>1.07</v>
      </c>
      <c r="D110">
        <v>0.67</v>
      </c>
      <c r="E110">
        <v>0.02</v>
      </c>
      <c r="F110">
        <v>0.3</v>
      </c>
      <c r="G110">
        <v>123</v>
      </c>
      <c r="H110">
        <v>0</v>
      </c>
      <c r="I110">
        <v>30</v>
      </c>
    </row>
    <row r="111" spans="1:9" x14ac:dyDescent="0.3">
      <c r="A111" t="s">
        <v>1296</v>
      </c>
      <c r="B111" t="s">
        <v>1013</v>
      </c>
      <c r="C111">
        <v>2.76</v>
      </c>
      <c r="D111">
        <v>0.75</v>
      </c>
      <c r="E111">
        <v>0.89</v>
      </c>
      <c r="F111">
        <v>0.3</v>
      </c>
      <c r="G111">
        <v>62</v>
      </c>
      <c r="H111">
        <v>0</v>
      </c>
      <c r="I111">
        <v>30</v>
      </c>
    </row>
    <row r="112" spans="1:9" x14ac:dyDescent="0.3">
      <c r="A112" t="s">
        <v>1297</v>
      </c>
      <c r="B112" t="s">
        <v>1018</v>
      </c>
      <c r="C112">
        <v>2.0699999999999998</v>
      </c>
      <c r="D112">
        <v>0.75</v>
      </c>
      <c r="E112">
        <v>0.89</v>
      </c>
      <c r="F112">
        <v>0.3</v>
      </c>
      <c r="G112">
        <v>62</v>
      </c>
      <c r="H112">
        <v>0</v>
      </c>
      <c r="I112">
        <v>30</v>
      </c>
    </row>
    <row r="113" spans="1:9" x14ac:dyDescent="0.3">
      <c r="A113" t="s">
        <v>1298</v>
      </c>
      <c r="B113" t="s">
        <v>1023</v>
      </c>
      <c r="C113">
        <v>1.24</v>
      </c>
      <c r="D113">
        <v>0.67</v>
      </c>
      <c r="E113">
        <v>0.02</v>
      </c>
      <c r="F113">
        <v>0.3</v>
      </c>
      <c r="G113">
        <v>123</v>
      </c>
      <c r="H113">
        <v>0</v>
      </c>
      <c r="I113">
        <v>30</v>
      </c>
    </row>
    <row r="114" spans="1:9" x14ac:dyDescent="0.3">
      <c r="A114" t="s">
        <v>1299</v>
      </c>
      <c r="B114" t="s">
        <v>1028</v>
      </c>
      <c r="C114">
        <v>2.99</v>
      </c>
      <c r="D114">
        <v>0.75</v>
      </c>
      <c r="E114">
        <v>0.89</v>
      </c>
      <c r="F114">
        <v>0.3</v>
      </c>
      <c r="G114">
        <v>62</v>
      </c>
      <c r="H114">
        <v>0</v>
      </c>
      <c r="I114">
        <v>30</v>
      </c>
    </row>
    <row r="115" spans="1:9" x14ac:dyDescent="0.3">
      <c r="A115" t="s">
        <v>1300</v>
      </c>
      <c r="B115" t="s">
        <v>1033</v>
      </c>
      <c r="C115">
        <v>2.17</v>
      </c>
      <c r="D115">
        <v>0.75</v>
      </c>
      <c r="E115">
        <v>0.89</v>
      </c>
      <c r="F115">
        <v>0.3</v>
      </c>
      <c r="G115">
        <v>62</v>
      </c>
      <c r="H115">
        <v>0</v>
      </c>
      <c r="I115">
        <v>30</v>
      </c>
    </row>
    <row r="116" spans="1:9" x14ac:dyDescent="0.3">
      <c r="A116" t="s">
        <v>1301</v>
      </c>
      <c r="B116" t="s">
        <v>1038</v>
      </c>
      <c r="C116">
        <v>1.2</v>
      </c>
      <c r="D116">
        <v>0.67</v>
      </c>
      <c r="E116">
        <v>0.02</v>
      </c>
      <c r="F116">
        <v>0.3</v>
      </c>
      <c r="G116">
        <v>123</v>
      </c>
      <c r="H116">
        <v>0</v>
      </c>
      <c r="I116">
        <v>30</v>
      </c>
    </row>
    <row r="117" spans="1:9" x14ac:dyDescent="0.3">
      <c r="A117" t="s">
        <v>1302</v>
      </c>
      <c r="B117" t="s">
        <v>1043</v>
      </c>
      <c r="C117">
        <v>3.03</v>
      </c>
      <c r="D117">
        <v>0.75</v>
      </c>
      <c r="E117">
        <v>0.89</v>
      </c>
      <c r="F117">
        <v>0.3</v>
      </c>
      <c r="G117">
        <v>62</v>
      </c>
      <c r="H117">
        <v>0</v>
      </c>
      <c r="I117">
        <v>30</v>
      </c>
    </row>
    <row r="118" spans="1:9" x14ac:dyDescent="0.3">
      <c r="A118" t="s">
        <v>1303</v>
      </c>
      <c r="B118" t="s">
        <v>1048</v>
      </c>
      <c r="C118">
        <v>2.1</v>
      </c>
      <c r="D118">
        <v>0.75</v>
      </c>
      <c r="E118">
        <v>0.89</v>
      </c>
      <c r="F118">
        <v>0.3</v>
      </c>
      <c r="G118">
        <v>62</v>
      </c>
      <c r="H118">
        <v>0</v>
      </c>
      <c r="I118">
        <v>30</v>
      </c>
    </row>
    <row r="119" spans="1:9" x14ac:dyDescent="0.3">
      <c r="A119" t="s">
        <v>1304</v>
      </c>
      <c r="B119" t="s">
        <v>1053</v>
      </c>
      <c r="C119">
        <v>1.05</v>
      </c>
      <c r="D119">
        <v>0.67</v>
      </c>
      <c r="E119">
        <v>0.02</v>
      </c>
      <c r="F119">
        <v>0.3</v>
      </c>
      <c r="G119">
        <v>123</v>
      </c>
      <c r="H119">
        <v>0</v>
      </c>
      <c r="I119">
        <v>30</v>
      </c>
    </row>
    <row r="120" spans="1:9" x14ac:dyDescent="0.3">
      <c r="A120" t="s">
        <v>1305</v>
      </c>
      <c r="B120" t="s">
        <v>1058</v>
      </c>
      <c r="C120">
        <v>4.2</v>
      </c>
      <c r="D120">
        <v>0.75</v>
      </c>
      <c r="E120">
        <v>0.89</v>
      </c>
      <c r="F120">
        <v>0.3</v>
      </c>
      <c r="G120">
        <v>62</v>
      </c>
      <c r="H120">
        <v>0</v>
      </c>
      <c r="I120">
        <v>30</v>
      </c>
    </row>
    <row r="121" spans="1:9" x14ac:dyDescent="0.3">
      <c r="A121" t="s">
        <v>1306</v>
      </c>
      <c r="B121" t="s">
        <v>1063</v>
      </c>
      <c r="C121">
        <v>2.02</v>
      </c>
      <c r="D121">
        <v>0.75</v>
      </c>
      <c r="E121">
        <v>0.89</v>
      </c>
      <c r="F121">
        <v>0.3</v>
      </c>
      <c r="G121">
        <v>62</v>
      </c>
      <c r="H121">
        <v>0</v>
      </c>
      <c r="I121">
        <v>30</v>
      </c>
    </row>
    <row r="122" spans="1:9" x14ac:dyDescent="0.3">
      <c r="A122" t="s">
        <v>1307</v>
      </c>
      <c r="B122" t="s">
        <v>1068</v>
      </c>
      <c r="C122">
        <v>1.3</v>
      </c>
      <c r="D122">
        <v>0.67</v>
      </c>
      <c r="E122">
        <v>0.02</v>
      </c>
      <c r="F122">
        <v>0.3</v>
      </c>
      <c r="G122">
        <v>123</v>
      </c>
      <c r="H122">
        <v>0</v>
      </c>
      <c r="I122">
        <v>30</v>
      </c>
    </row>
    <row r="123" spans="1:9" x14ac:dyDescent="0.3">
      <c r="A123" t="s">
        <v>1308</v>
      </c>
      <c r="B123" t="s">
        <v>1073</v>
      </c>
      <c r="C123">
        <v>5</v>
      </c>
      <c r="D123">
        <v>0.75</v>
      </c>
      <c r="E123">
        <v>0.89</v>
      </c>
      <c r="F123">
        <v>0.3</v>
      </c>
      <c r="G123">
        <v>62</v>
      </c>
      <c r="H123">
        <v>0</v>
      </c>
      <c r="I123">
        <v>30</v>
      </c>
    </row>
    <row r="124" spans="1:9" x14ac:dyDescent="0.3">
      <c r="A124" t="s">
        <v>1309</v>
      </c>
      <c r="B124" t="s">
        <v>1078</v>
      </c>
      <c r="C124">
        <v>8.36</v>
      </c>
      <c r="D124">
        <v>0.75</v>
      </c>
      <c r="E124">
        <v>0.89</v>
      </c>
      <c r="F124">
        <v>0.3</v>
      </c>
      <c r="G124">
        <v>62</v>
      </c>
      <c r="H124">
        <v>0</v>
      </c>
      <c r="I124">
        <v>30</v>
      </c>
    </row>
    <row r="125" spans="1:9" x14ac:dyDescent="0.3">
      <c r="A125" t="s">
        <v>1310</v>
      </c>
      <c r="B125" t="s">
        <v>1083</v>
      </c>
      <c r="C125">
        <v>1.3</v>
      </c>
      <c r="D125">
        <v>0.67</v>
      </c>
      <c r="E125">
        <v>0.02</v>
      </c>
      <c r="F125">
        <v>0.3</v>
      </c>
      <c r="G125">
        <v>123</v>
      </c>
      <c r="H125">
        <v>0</v>
      </c>
      <c r="I125">
        <v>30</v>
      </c>
    </row>
    <row r="126" spans="1:9" x14ac:dyDescent="0.3">
      <c r="A126" t="s">
        <v>1311</v>
      </c>
      <c r="B126" t="s">
        <v>1088</v>
      </c>
      <c r="C126">
        <v>2.7</v>
      </c>
      <c r="D126">
        <v>0.75</v>
      </c>
      <c r="E126">
        <v>0.89</v>
      </c>
      <c r="F126">
        <v>0.3</v>
      </c>
      <c r="G126">
        <v>62</v>
      </c>
      <c r="H126">
        <v>0</v>
      </c>
      <c r="I126">
        <v>30</v>
      </c>
    </row>
    <row r="127" spans="1:9" x14ac:dyDescent="0.3">
      <c r="A127" t="s">
        <v>1312</v>
      </c>
      <c r="B127" t="s">
        <v>1093</v>
      </c>
      <c r="C127">
        <v>2.04</v>
      </c>
      <c r="D127">
        <v>0.75</v>
      </c>
      <c r="E127">
        <v>0.89</v>
      </c>
      <c r="F127">
        <v>0.3</v>
      </c>
      <c r="G127">
        <v>62</v>
      </c>
      <c r="H127">
        <v>0</v>
      </c>
      <c r="I127">
        <v>30</v>
      </c>
    </row>
    <row r="128" spans="1:9" x14ac:dyDescent="0.3">
      <c r="A128" t="s">
        <v>1313</v>
      </c>
      <c r="B128" t="s">
        <v>1098</v>
      </c>
      <c r="C128">
        <v>1.1399999999999999</v>
      </c>
      <c r="D128">
        <v>0.67</v>
      </c>
      <c r="E128">
        <v>0.02</v>
      </c>
      <c r="F128">
        <v>0.3</v>
      </c>
      <c r="G128">
        <v>123</v>
      </c>
      <c r="H128">
        <v>0</v>
      </c>
      <c r="I128">
        <v>30</v>
      </c>
    </row>
    <row r="129" spans="1:9" x14ac:dyDescent="0.3">
      <c r="A129" t="s">
        <v>1314</v>
      </c>
      <c r="B129" t="s">
        <v>1103</v>
      </c>
      <c r="C129">
        <v>3.11</v>
      </c>
      <c r="D129">
        <v>0.75</v>
      </c>
      <c r="E129">
        <v>0.89</v>
      </c>
      <c r="F129">
        <v>0.3</v>
      </c>
      <c r="G129">
        <v>62</v>
      </c>
      <c r="H129">
        <v>0</v>
      </c>
      <c r="I129">
        <v>30</v>
      </c>
    </row>
    <row r="130" spans="1:9" x14ac:dyDescent="0.3">
      <c r="A130" t="s">
        <v>1315</v>
      </c>
      <c r="B130" t="s">
        <v>1108</v>
      </c>
      <c r="C130">
        <v>2.1800000000000002</v>
      </c>
      <c r="D130">
        <v>0.75</v>
      </c>
      <c r="E130">
        <v>0.89</v>
      </c>
      <c r="F130">
        <v>0.3</v>
      </c>
      <c r="G130">
        <v>62</v>
      </c>
      <c r="H130">
        <v>0</v>
      </c>
      <c r="I130">
        <v>30</v>
      </c>
    </row>
    <row r="131" spans="1:9" x14ac:dyDescent="0.3">
      <c r="A131" t="s">
        <v>1316</v>
      </c>
      <c r="B131" t="s">
        <v>1113</v>
      </c>
      <c r="C131">
        <v>1.2</v>
      </c>
      <c r="D131">
        <v>0.67</v>
      </c>
      <c r="E131">
        <v>0.02</v>
      </c>
      <c r="F131">
        <v>0.3</v>
      </c>
      <c r="G131">
        <v>123</v>
      </c>
      <c r="H131">
        <v>0</v>
      </c>
      <c r="I131">
        <v>30</v>
      </c>
    </row>
  </sheetData>
  <phoneticPr fontId="5" type="noConversion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B4366-A9D5-4B1A-AA97-653C94E8C836}">
  <sheetPr>
    <tabColor theme="8" tint="0.39997558519241921"/>
  </sheetPr>
  <dimension ref="A1:N6"/>
  <sheetViews>
    <sheetView workbookViewId="0">
      <selection activeCell="A3" sqref="A3"/>
    </sheetView>
  </sheetViews>
  <sheetFormatPr baseColWidth="10" defaultRowHeight="14.4" x14ac:dyDescent="0.3"/>
  <cols>
    <col min="1" max="1" width="19.44140625" bestFit="1" customWidth="1"/>
    <col min="2" max="2" width="19.88671875" customWidth="1"/>
    <col min="3" max="4" width="15.5546875" customWidth="1"/>
  </cols>
  <sheetData>
    <row r="1" spans="1:14" x14ac:dyDescent="0.3">
      <c r="A1" t="s">
        <v>4</v>
      </c>
      <c r="B1" t="s">
        <v>352</v>
      </c>
      <c r="C1" t="s">
        <v>530</v>
      </c>
      <c r="D1" t="s">
        <v>531</v>
      </c>
      <c r="E1" t="s">
        <v>532</v>
      </c>
      <c r="F1" t="s">
        <v>533</v>
      </c>
      <c r="G1" t="s">
        <v>534</v>
      </c>
      <c r="H1" t="s">
        <v>535</v>
      </c>
      <c r="I1" t="s">
        <v>536</v>
      </c>
      <c r="J1" t="s">
        <v>537</v>
      </c>
      <c r="K1" t="s">
        <v>538</v>
      </c>
      <c r="L1" t="s">
        <v>539</v>
      </c>
      <c r="M1" t="s">
        <v>540</v>
      </c>
      <c r="N1" t="s">
        <v>541</v>
      </c>
    </row>
    <row r="2" spans="1:14" x14ac:dyDescent="0.3">
      <c r="B2" t="s">
        <v>542</v>
      </c>
      <c r="C2" t="s">
        <v>514</v>
      </c>
      <c r="D2">
        <v>0</v>
      </c>
      <c r="E2">
        <v>0</v>
      </c>
      <c r="F2">
        <v>0</v>
      </c>
    </row>
    <row r="3" spans="1:14" x14ac:dyDescent="0.3">
      <c r="A3" t="s">
        <v>543</v>
      </c>
      <c r="B3" t="s">
        <v>48</v>
      </c>
      <c r="C3" t="s">
        <v>544</v>
      </c>
      <c r="D3">
        <v>1</v>
      </c>
      <c r="E3">
        <v>500</v>
      </c>
      <c r="F3">
        <v>0.15</v>
      </c>
      <c r="M3">
        <v>90</v>
      </c>
      <c r="N3">
        <v>20</v>
      </c>
    </row>
    <row r="4" spans="1:14" x14ac:dyDescent="0.3">
      <c r="A4" t="s">
        <v>545</v>
      </c>
      <c r="B4" t="s">
        <v>546</v>
      </c>
      <c r="C4" t="s">
        <v>544</v>
      </c>
      <c r="D4">
        <v>1</v>
      </c>
      <c r="E4">
        <v>500</v>
      </c>
      <c r="F4">
        <v>-0.1</v>
      </c>
      <c r="M4">
        <v>70</v>
      </c>
      <c r="N4">
        <v>15</v>
      </c>
    </row>
    <row r="5" spans="1:14" x14ac:dyDescent="0.3">
      <c r="A5" t="s">
        <v>547</v>
      </c>
      <c r="B5" t="s">
        <v>548</v>
      </c>
      <c r="C5" t="s">
        <v>523</v>
      </c>
      <c r="D5">
        <v>1</v>
      </c>
      <c r="E5">
        <v>500</v>
      </c>
      <c r="F5">
        <v>-1.1000000000000001</v>
      </c>
      <c r="G5">
        <v>40</v>
      </c>
      <c r="H5">
        <v>20</v>
      </c>
      <c r="I5">
        <v>36</v>
      </c>
      <c r="J5">
        <v>40</v>
      </c>
      <c r="K5">
        <v>20</v>
      </c>
      <c r="L5">
        <v>36</v>
      </c>
    </row>
    <row r="6" spans="1:14" x14ac:dyDescent="0.3">
      <c r="A6" t="s">
        <v>549</v>
      </c>
      <c r="B6" t="s">
        <v>78</v>
      </c>
      <c r="C6" t="s">
        <v>550</v>
      </c>
      <c r="D6">
        <v>0.5</v>
      </c>
      <c r="E6">
        <v>150</v>
      </c>
      <c r="F6">
        <v>-0.9</v>
      </c>
      <c r="M6">
        <v>40</v>
      </c>
      <c r="N6">
        <v>5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2C2BA-C673-4A8E-B806-F9008D7C4174}">
  <sheetPr>
    <tabColor theme="8" tint="0.39997558519241921"/>
  </sheetPr>
  <dimension ref="A1:O7"/>
  <sheetViews>
    <sheetView workbookViewId="0"/>
  </sheetViews>
  <sheetFormatPr baseColWidth="10" defaultRowHeight="14.4" x14ac:dyDescent="0.3"/>
  <cols>
    <col min="1" max="1" width="21" bestFit="1" customWidth="1"/>
    <col min="2" max="2" width="18.44140625" bestFit="1" customWidth="1"/>
    <col min="3" max="3" width="14" customWidth="1"/>
  </cols>
  <sheetData>
    <row r="1" spans="1:15" x14ac:dyDescent="0.3">
      <c r="A1" t="s">
        <v>4</v>
      </c>
      <c r="B1" t="s">
        <v>352</v>
      </c>
      <c r="C1" t="s">
        <v>501</v>
      </c>
      <c r="D1" t="s">
        <v>502</v>
      </c>
      <c r="E1" t="s">
        <v>503</v>
      </c>
      <c r="F1" t="s">
        <v>504</v>
      </c>
      <c r="G1" t="s">
        <v>505</v>
      </c>
      <c r="H1" t="s">
        <v>506</v>
      </c>
      <c r="I1" t="s">
        <v>507</v>
      </c>
      <c r="J1" t="s">
        <v>508</v>
      </c>
      <c r="K1" t="s">
        <v>509</v>
      </c>
      <c r="L1" t="s">
        <v>510</v>
      </c>
      <c r="M1" t="s">
        <v>511</v>
      </c>
      <c r="N1" t="s">
        <v>512</v>
      </c>
      <c r="O1" t="s">
        <v>513</v>
      </c>
    </row>
    <row r="2" spans="1:15" x14ac:dyDescent="0.3">
      <c r="A2" t="s">
        <v>422</v>
      </c>
      <c r="B2" t="s">
        <v>49</v>
      </c>
      <c r="C2" t="s">
        <v>514</v>
      </c>
      <c r="D2">
        <v>0</v>
      </c>
      <c r="E2">
        <v>0</v>
      </c>
      <c r="F2">
        <v>0</v>
      </c>
    </row>
    <row r="3" spans="1:15" x14ac:dyDescent="0.3">
      <c r="A3" t="s">
        <v>515</v>
      </c>
      <c r="B3" t="s">
        <v>516</v>
      </c>
      <c r="C3" t="s">
        <v>517</v>
      </c>
      <c r="D3">
        <v>0.5</v>
      </c>
      <c r="E3">
        <v>500</v>
      </c>
      <c r="F3">
        <v>0.5</v>
      </c>
      <c r="M3">
        <v>18</v>
      </c>
      <c r="N3">
        <v>3</v>
      </c>
    </row>
    <row r="4" spans="1:15" x14ac:dyDescent="0.3">
      <c r="A4" t="s">
        <v>518</v>
      </c>
      <c r="B4" t="s">
        <v>519</v>
      </c>
      <c r="C4" t="s">
        <v>520</v>
      </c>
      <c r="D4">
        <v>1</v>
      </c>
      <c r="E4">
        <v>150</v>
      </c>
      <c r="F4">
        <v>0.7</v>
      </c>
      <c r="J4">
        <v>7.5</v>
      </c>
      <c r="K4">
        <v>7</v>
      </c>
      <c r="L4">
        <v>16</v>
      </c>
    </row>
    <row r="5" spans="1:15" x14ac:dyDescent="0.3">
      <c r="A5" t="s">
        <v>521</v>
      </c>
      <c r="B5" t="s">
        <v>522</v>
      </c>
      <c r="C5" t="s">
        <v>523</v>
      </c>
      <c r="D5">
        <v>1</v>
      </c>
      <c r="E5">
        <v>500</v>
      </c>
      <c r="F5">
        <v>0.5</v>
      </c>
      <c r="G5">
        <v>7.5</v>
      </c>
      <c r="H5">
        <v>7</v>
      </c>
      <c r="I5">
        <v>16</v>
      </c>
      <c r="J5">
        <v>7.5</v>
      </c>
      <c r="K5">
        <v>7</v>
      </c>
      <c r="L5">
        <v>16</v>
      </c>
    </row>
    <row r="6" spans="1:15" x14ac:dyDescent="0.3">
      <c r="A6" t="s">
        <v>524</v>
      </c>
      <c r="B6" t="s">
        <v>525</v>
      </c>
      <c r="C6" t="s">
        <v>526</v>
      </c>
      <c r="D6">
        <v>1</v>
      </c>
      <c r="E6">
        <v>500</v>
      </c>
      <c r="F6">
        <v>0.5</v>
      </c>
      <c r="G6">
        <v>7.5</v>
      </c>
      <c r="H6">
        <v>7</v>
      </c>
      <c r="I6">
        <v>18</v>
      </c>
      <c r="J6">
        <v>7.5</v>
      </c>
      <c r="K6">
        <v>4</v>
      </c>
      <c r="L6">
        <v>13</v>
      </c>
      <c r="M6">
        <v>18</v>
      </c>
      <c r="N6">
        <v>3</v>
      </c>
    </row>
    <row r="7" spans="1:15" x14ac:dyDescent="0.3">
      <c r="A7" t="s">
        <v>527</v>
      </c>
      <c r="B7" t="s">
        <v>528</v>
      </c>
      <c r="C7" t="s">
        <v>529</v>
      </c>
      <c r="D7">
        <v>0.1</v>
      </c>
      <c r="E7">
        <v>100</v>
      </c>
      <c r="F7">
        <v>0.5</v>
      </c>
      <c r="M7">
        <v>18</v>
      </c>
      <c r="N7">
        <v>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1B76-2223-4C53-95B5-A5FCB5EE5D8D}">
  <sheetPr>
    <tabColor theme="8" tint="0.39997558519241921"/>
  </sheetPr>
  <dimension ref="A1:E6"/>
  <sheetViews>
    <sheetView workbookViewId="0"/>
  </sheetViews>
  <sheetFormatPr baseColWidth="10" defaultRowHeight="14.4" x14ac:dyDescent="0.3"/>
  <cols>
    <col min="1" max="1" width="37.6640625" bestFit="1" customWidth="1"/>
    <col min="2" max="2" width="20.21875" bestFit="1" customWidth="1"/>
  </cols>
  <sheetData>
    <row r="1" spans="1:5" x14ac:dyDescent="0.3">
      <c r="A1" t="s">
        <v>4</v>
      </c>
      <c r="B1" t="s">
        <v>352</v>
      </c>
      <c r="C1" t="s">
        <v>551</v>
      </c>
      <c r="D1" t="s">
        <v>552</v>
      </c>
      <c r="E1" t="s">
        <v>553</v>
      </c>
    </row>
    <row r="2" spans="1:5" x14ac:dyDescent="0.3">
      <c r="B2" t="s">
        <v>554</v>
      </c>
      <c r="C2" t="s">
        <v>514</v>
      </c>
      <c r="D2">
        <v>0</v>
      </c>
      <c r="E2">
        <v>0</v>
      </c>
    </row>
    <row r="3" spans="1:5" x14ac:dyDescent="0.3">
      <c r="A3" t="s">
        <v>555</v>
      </c>
      <c r="B3" t="s">
        <v>50</v>
      </c>
      <c r="C3" t="s">
        <v>556</v>
      </c>
      <c r="D3">
        <v>60</v>
      </c>
      <c r="E3">
        <v>500</v>
      </c>
    </row>
    <row r="4" spans="1:5" x14ac:dyDescent="0.3">
      <c r="A4" t="s">
        <v>557</v>
      </c>
      <c r="B4" t="s">
        <v>558</v>
      </c>
      <c r="C4" t="s">
        <v>559</v>
      </c>
      <c r="D4">
        <v>45</v>
      </c>
      <c r="E4">
        <v>500</v>
      </c>
    </row>
    <row r="5" spans="1:5" x14ac:dyDescent="0.3">
      <c r="A5" t="s">
        <v>560</v>
      </c>
      <c r="B5" t="s">
        <v>561</v>
      </c>
      <c r="C5" t="s">
        <v>562</v>
      </c>
      <c r="D5">
        <v>35</v>
      </c>
      <c r="E5">
        <v>500</v>
      </c>
    </row>
    <row r="6" spans="1:5" x14ac:dyDescent="0.3">
      <c r="A6" t="s">
        <v>563</v>
      </c>
      <c r="B6" t="s">
        <v>564</v>
      </c>
      <c r="C6" t="s">
        <v>556</v>
      </c>
      <c r="D6">
        <v>60</v>
      </c>
      <c r="E6">
        <v>500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AB8-EB19-43BA-9053-670F85870DA3}">
  <sheetPr>
    <tabColor theme="8" tint="0.39997558519241921"/>
  </sheetPr>
  <dimension ref="A1:D6"/>
  <sheetViews>
    <sheetView workbookViewId="0"/>
  </sheetViews>
  <sheetFormatPr baseColWidth="10" defaultRowHeight="14.4" x14ac:dyDescent="0.3"/>
  <cols>
    <col min="1" max="1" width="53.109375" bestFit="1" customWidth="1"/>
    <col min="2" max="2" width="23.109375" customWidth="1"/>
  </cols>
  <sheetData>
    <row r="1" spans="1:4" x14ac:dyDescent="0.3">
      <c r="A1" t="s">
        <v>4</v>
      </c>
      <c r="B1" t="s">
        <v>352</v>
      </c>
      <c r="C1" t="s">
        <v>494</v>
      </c>
      <c r="D1" t="s">
        <v>495</v>
      </c>
    </row>
    <row r="2" spans="1:4" x14ac:dyDescent="0.3">
      <c r="B2" t="s">
        <v>496</v>
      </c>
      <c r="C2">
        <v>2.5</v>
      </c>
      <c r="D2">
        <v>-2.5</v>
      </c>
    </row>
    <row r="3" spans="1:4" x14ac:dyDescent="0.3">
      <c r="B3" t="s">
        <v>51</v>
      </c>
      <c r="C3">
        <v>2.5</v>
      </c>
      <c r="D3">
        <v>-2.5</v>
      </c>
    </row>
    <row r="4" spans="1:4" x14ac:dyDescent="0.3">
      <c r="A4" t="s">
        <v>497</v>
      </c>
      <c r="B4" t="s">
        <v>79</v>
      </c>
      <c r="C4">
        <v>1.2</v>
      </c>
      <c r="D4">
        <v>-1.2</v>
      </c>
    </row>
    <row r="5" spans="1:4" x14ac:dyDescent="0.3">
      <c r="A5" t="s">
        <v>498</v>
      </c>
      <c r="B5" t="s">
        <v>86</v>
      </c>
      <c r="C5">
        <v>0.9</v>
      </c>
      <c r="D5">
        <v>-0.9</v>
      </c>
    </row>
    <row r="6" spans="1:4" x14ac:dyDescent="0.3">
      <c r="A6" t="s">
        <v>499</v>
      </c>
      <c r="B6" t="s">
        <v>500</v>
      </c>
      <c r="C6">
        <v>1.8</v>
      </c>
      <c r="D6">
        <v>1.8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20A64-4F2E-446B-A049-3918283CE307}">
  <sheetPr>
    <tabColor theme="8" tint="0.39997558519241921"/>
  </sheetPr>
  <dimension ref="A1:G5"/>
  <sheetViews>
    <sheetView workbookViewId="0"/>
  </sheetViews>
  <sheetFormatPr baseColWidth="10" defaultRowHeight="14.4" x14ac:dyDescent="0.3"/>
  <cols>
    <col min="1" max="1" width="51" bestFit="1" customWidth="1"/>
    <col min="2" max="2" width="24.109375" customWidth="1"/>
  </cols>
  <sheetData>
    <row r="1" spans="1:7" x14ac:dyDescent="0.3">
      <c r="A1" t="s">
        <v>4</v>
      </c>
      <c r="B1" t="s">
        <v>352</v>
      </c>
      <c r="C1" t="s">
        <v>565</v>
      </c>
      <c r="D1" t="s">
        <v>566</v>
      </c>
      <c r="E1" t="s">
        <v>567</v>
      </c>
      <c r="F1" t="s">
        <v>568</v>
      </c>
      <c r="G1" t="s">
        <v>569</v>
      </c>
    </row>
    <row r="2" spans="1:7" x14ac:dyDescent="0.3">
      <c r="A2" t="s">
        <v>570</v>
      </c>
      <c r="B2" t="s">
        <v>52</v>
      </c>
      <c r="C2" t="b">
        <v>0</v>
      </c>
      <c r="D2" t="b">
        <v>1</v>
      </c>
      <c r="E2" t="b">
        <v>0</v>
      </c>
      <c r="F2" t="b">
        <v>1</v>
      </c>
      <c r="G2" t="b">
        <v>0</v>
      </c>
    </row>
    <row r="3" spans="1:7" x14ac:dyDescent="0.3">
      <c r="A3" t="s">
        <v>571</v>
      </c>
      <c r="B3" t="s">
        <v>87</v>
      </c>
      <c r="C3" t="b">
        <v>1</v>
      </c>
      <c r="D3" t="b">
        <v>0</v>
      </c>
      <c r="E3" t="b">
        <v>1</v>
      </c>
      <c r="F3" t="b">
        <v>1</v>
      </c>
      <c r="G3" t="b">
        <v>0</v>
      </c>
    </row>
    <row r="4" spans="1:7" x14ac:dyDescent="0.3">
      <c r="A4" t="s">
        <v>572</v>
      </c>
      <c r="B4" t="s">
        <v>573</v>
      </c>
      <c r="C4" t="b">
        <v>1</v>
      </c>
      <c r="D4" t="b">
        <v>0</v>
      </c>
      <c r="E4" t="b">
        <v>1</v>
      </c>
      <c r="F4" t="b">
        <v>1</v>
      </c>
      <c r="G4" t="b">
        <v>1</v>
      </c>
    </row>
    <row r="5" spans="1:7" x14ac:dyDescent="0.3">
      <c r="A5" t="s">
        <v>574</v>
      </c>
      <c r="B5" t="s">
        <v>575</v>
      </c>
      <c r="C5" t="b">
        <v>0</v>
      </c>
      <c r="D5" t="b">
        <v>1</v>
      </c>
      <c r="E5" t="b">
        <v>0</v>
      </c>
      <c r="F5" t="b">
        <v>0</v>
      </c>
      <c r="G5" t="b">
        <v>0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A30D-623C-4C03-B593-0BB1AEB24DDB}">
  <sheetPr>
    <tabColor theme="9" tint="0.39997558519241921"/>
  </sheetPr>
  <dimension ref="A1:N6"/>
  <sheetViews>
    <sheetView workbookViewId="0">
      <selection activeCell="E13" sqref="E13"/>
    </sheetView>
  </sheetViews>
  <sheetFormatPr baseColWidth="10" defaultRowHeight="14.4" x14ac:dyDescent="0.3"/>
  <cols>
    <col min="1" max="1" width="29.33203125" bestFit="1" customWidth="1"/>
    <col min="2" max="2" width="20" bestFit="1" customWidth="1"/>
  </cols>
  <sheetData>
    <row r="1" spans="1:14" x14ac:dyDescent="0.3">
      <c r="A1" t="s">
        <v>4</v>
      </c>
      <c r="B1" t="s">
        <v>352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  <c r="K1" t="s">
        <v>584</v>
      </c>
      <c r="L1" t="s">
        <v>585</v>
      </c>
      <c r="M1" t="s">
        <v>586</v>
      </c>
      <c r="N1" t="s">
        <v>513</v>
      </c>
    </row>
    <row r="2" spans="1:14" x14ac:dyDescent="0.3">
      <c r="A2" t="s">
        <v>422</v>
      </c>
      <c r="B2" t="s">
        <v>59</v>
      </c>
      <c r="C2" t="s">
        <v>318</v>
      </c>
      <c r="D2" t="s">
        <v>318</v>
      </c>
      <c r="E2" t="s">
        <v>318</v>
      </c>
      <c r="F2" t="s">
        <v>514</v>
      </c>
      <c r="G2" t="s">
        <v>514</v>
      </c>
      <c r="H2" t="s">
        <v>514</v>
      </c>
      <c r="I2">
        <v>0</v>
      </c>
      <c r="J2">
        <v>0</v>
      </c>
      <c r="K2">
        <v>20</v>
      </c>
      <c r="L2">
        <v>1</v>
      </c>
      <c r="M2">
        <v>5</v>
      </c>
      <c r="N2" t="s">
        <v>587</v>
      </c>
    </row>
    <row r="3" spans="1:14" x14ac:dyDescent="0.3">
      <c r="A3" t="s">
        <v>588</v>
      </c>
      <c r="B3" t="s">
        <v>589</v>
      </c>
      <c r="C3" t="s">
        <v>590</v>
      </c>
      <c r="D3" t="s">
        <v>318</v>
      </c>
      <c r="E3" t="s">
        <v>591</v>
      </c>
      <c r="F3" t="s">
        <v>592</v>
      </c>
      <c r="G3" t="s">
        <v>593</v>
      </c>
      <c r="H3" t="s">
        <v>594</v>
      </c>
      <c r="I3">
        <v>2.7</v>
      </c>
      <c r="J3">
        <v>200</v>
      </c>
      <c r="K3">
        <v>20</v>
      </c>
      <c r="L3">
        <v>1</v>
      </c>
      <c r="M3">
        <v>5</v>
      </c>
      <c r="N3" t="s">
        <v>587</v>
      </c>
    </row>
    <row r="4" spans="1:14" x14ac:dyDescent="0.3">
      <c r="A4" t="s">
        <v>595</v>
      </c>
      <c r="B4" t="s">
        <v>596</v>
      </c>
      <c r="C4" t="s">
        <v>590</v>
      </c>
      <c r="D4" t="s">
        <v>318</v>
      </c>
      <c r="E4" t="s">
        <v>591</v>
      </c>
      <c r="F4" t="s">
        <v>592</v>
      </c>
      <c r="G4" t="s">
        <v>593</v>
      </c>
      <c r="H4" t="s">
        <v>594</v>
      </c>
      <c r="I4">
        <v>3</v>
      </c>
      <c r="J4">
        <v>200</v>
      </c>
      <c r="K4">
        <v>20</v>
      </c>
      <c r="L4">
        <v>1</v>
      </c>
      <c r="M4">
        <v>5</v>
      </c>
      <c r="N4" t="s">
        <v>587</v>
      </c>
    </row>
    <row r="5" spans="1:14" x14ac:dyDescent="0.3">
      <c r="A5" t="s">
        <v>597</v>
      </c>
      <c r="B5" t="s">
        <v>598</v>
      </c>
      <c r="C5" t="s">
        <v>590</v>
      </c>
      <c r="D5" t="s">
        <v>318</v>
      </c>
      <c r="E5" t="s">
        <v>591</v>
      </c>
      <c r="F5" t="s">
        <v>592</v>
      </c>
      <c r="G5" t="s">
        <v>593</v>
      </c>
      <c r="H5" t="s">
        <v>599</v>
      </c>
      <c r="I5">
        <v>3.2</v>
      </c>
      <c r="J5">
        <v>200</v>
      </c>
      <c r="K5">
        <v>20</v>
      </c>
      <c r="L5">
        <v>1</v>
      </c>
      <c r="M5">
        <v>5</v>
      </c>
      <c r="N5" t="s">
        <v>587</v>
      </c>
    </row>
    <row r="6" spans="1:14" x14ac:dyDescent="0.3">
      <c r="A6" t="s">
        <v>600</v>
      </c>
      <c r="B6" t="s">
        <v>601</v>
      </c>
      <c r="C6" t="s">
        <v>590</v>
      </c>
      <c r="D6" t="s">
        <v>318</v>
      </c>
      <c r="E6" t="s">
        <v>591</v>
      </c>
      <c r="F6" t="s">
        <v>592</v>
      </c>
      <c r="G6" t="s">
        <v>593</v>
      </c>
      <c r="H6" t="s">
        <v>599</v>
      </c>
      <c r="I6">
        <v>2.8</v>
      </c>
      <c r="J6">
        <v>200</v>
      </c>
      <c r="K6">
        <v>20</v>
      </c>
      <c r="L6">
        <v>1</v>
      </c>
      <c r="M6">
        <v>5</v>
      </c>
      <c r="N6" t="s">
        <v>587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2A57-6EB6-42D0-AF22-FAE5D3F34598}">
  <sheetPr>
    <tabColor theme="9" tint="0.39997558519241921"/>
  </sheetPr>
  <dimension ref="A1:J4"/>
  <sheetViews>
    <sheetView workbookViewId="0">
      <selection activeCell="A9" sqref="A9"/>
    </sheetView>
  </sheetViews>
  <sheetFormatPr baseColWidth="10" defaultRowHeight="14.4" x14ac:dyDescent="0.3"/>
  <cols>
    <col min="1" max="1" width="23.21875" bestFit="1" customWidth="1"/>
  </cols>
  <sheetData>
    <row r="1" spans="1:10" x14ac:dyDescent="0.3">
      <c r="A1" t="s">
        <v>4</v>
      </c>
      <c r="B1" t="s">
        <v>352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513</v>
      </c>
    </row>
    <row r="2" spans="1:10" x14ac:dyDescent="0.3">
      <c r="A2" t="s">
        <v>422</v>
      </c>
      <c r="B2" t="s">
        <v>602</v>
      </c>
      <c r="C2" t="s">
        <v>514</v>
      </c>
      <c r="D2" t="s">
        <v>514</v>
      </c>
      <c r="E2">
        <v>0</v>
      </c>
      <c r="F2">
        <v>0</v>
      </c>
      <c r="G2">
        <v>20</v>
      </c>
      <c r="H2">
        <v>1</v>
      </c>
      <c r="I2">
        <v>5</v>
      </c>
      <c r="J2" t="s">
        <v>587</v>
      </c>
    </row>
    <row r="3" spans="1:10" x14ac:dyDescent="0.3">
      <c r="A3" t="s">
        <v>603</v>
      </c>
      <c r="B3" t="s">
        <v>60</v>
      </c>
      <c r="C3" t="s">
        <v>593</v>
      </c>
      <c r="D3" t="s">
        <v>604</v>
      </c>
      <c r="E3">
        <v>0.99</v>
      </c>
      <c r="F3">
        <v>1</v>
      </c>
      <c r="G3">
        <v>20</v>
      </c>
      <c r="H3">
        <v>1</v>
      </c>
      <c r="I3">
        <v>5</v>
      </c>
      <c r="J3" t="s">
        <v>587</v>
      </c>
    </row>
    <row r="4" spans="1:10" x14ac:dyDescent="0.3">
      <c r="A4" t="s">
        <v>1563</v>
      </c>
      <c r="B4" t="s">
        <v>1562</v>
      </c>
      <c r="C4" t="s">
        <v>1559</v>
      </c>
      <c r="D4" t="s">
        <v>604</v>
      </c>
      <c r="E4">
        <v>0.99</v>
      </c>
      <c r="F4">
        <v>1</v>
      </c>
      <c r="G4">
        <v>20</v>
      </c>
      <c r="H4">
        <v>1</v>
      </c>
      <c r="I4">
        <v>5</v>
      </c>
      <c r="J4" t="s">
        <v>587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AC49E-229C-4BEE-B871-9FD01C3A3F23}">
  <sheetPr>
    <tabColor theme="9" tint="0.39997558519241921"/>
  </sheetPr>
  <dimension ref="A1:M14"/>
  <sheetViews>
    <sheetView workbookViewId="0">
      <selection activeCell="B4" sqref="B4"/>
    </sheetView>
  </sheetViews>
  <sheetFormatPr baseColWidth="10" defaultRowHeight="14.4" x14ac:dyDescent="0.3"/>
  <cols>
    <col min="1" max="1" width="35.5546875" bestFit="1" customWidth="1"/>
    <col min="2" max="2" width="21.6640625" customWidth="1"/>
    <col min="3" max="3" width="18.44140625" bestFit="1" customWidth="1"/>
  </cols>
  <sheetData>
    <row r="1" spans="1:13" x14ac:dyDescent="0.3">
      <c r="A1" t="s">
        <v>4</v>
      </c>
      <c r="B1" t="s">
        <v>352</v>
      </c>
      <c r="C1" t="s">
        <v>576</v>
      </c>
      <c r="D1" t="s">
        <v>577</v>
      </c>
      <c r="E1" t="s">
        <v>578</v>
      </c>
      <c r="F1" t="s">
        <v>580</v>
      </c>
      <c r="G1" t="s">
        <v>581</v>
      </c>
      <c r="H1" t="s">
        <v>582</v>
      </c>
      <c r="I1" t="s">
        <v>583</v>
      </c>
      <c r="J1" t="s">
        <v>584</v>
      </c>
      <c r="K1" t="s">
        <v>585</v>
      </c>
      <c r="L1" t="s">
        <v>586</v>
      </c>
      <c r="M1" t="s">
        <v>513</v>
      </c>
    </row>
    <row r="2" spans="1:13" x14ac:dyDescent="0.3">
      <c r="A2" t="s">
        <v>422</v>
      </c>
      <c r="B2" t="s">
        <v>605</v>
      </c>
      <c r="C2" t="s">
        <v>318</v>
      </c>
      <c r="D2" t="s">
        <v>318</v>
      </c>
      <c r="E2" t="s">
        <v>318</v>
      </c>
      <c r="F2" t="s">
        <v>514</v>
      </c>
      <c r="G2" t="s">
        <v>514</v>
      </c>
      <c r="H2">
        <v>0</v>
      </c>
      <c r="I2">
        <v>0</v>
      </c>
      <c r="J2">
        <v>20</v>
      </c>
      <c r="K2">
        <v>1</v>
      </c>
      <c r="L2">
        <v>5</v>
      </c>
      <c r="M2" t="s">
        <v>587</v>
      </c>
    </row>
    <row r="3" spans="1:13" x14ac:dyDescent="0.3">
      <c r="A3" t="s">
        <v>606</v>
      </c>
      <c r="B3" t="s">
        <v>57</v>
      </c>
      <c r="C3" t="s">
        <v>607</v>
      </c>
      <c r="D3" t="s">
        <v>318</v>
      </c>
      <c r="E3" t="s">
        <v>318</v>
      </c>
      <c r="F3" t="s">
        <v>608</v>
      </c>
      <c r="G3" t="s">
        <v>594</v>
      </c>
      <c r="H3">
        <v>0.8</v>
      </c>
      <c r="I3">
        <v>493</v>
      </c>
      <c r="J3">
        <v>20</v>
      </c>
      <c r="K3">
        <v>1</v>
      </c>
      <c r="L3">
        <v>5</v>
      </c>
      <c r="M3" t="s">
        <v>609</v>
      </c>
    </row>
    <row r="4" spans="1:13" x14ac:dyDescent="0.3">
      <c r="A4" t="s">
        <v>610</v>
      </c>
      <c r="B4" t="s">
        <v>611</v>
      </c>
      <c r="C4" t="s">
        <v>612</v>
      </c>
      <c r="D4" t="s">
        <v>318</v>
      </c>
      <c r="E4" t="s">
        <v>318</v>
      </c>
      <c r="F4" t="s">
        <v>613</v>
      </c>
      <c r="G4" t="s">
        <v>594</v>
      </c>
      <c r="H4">
        <v>0.6</v>
      </c>
      <c r="I4">
        <v>367</v>
      </c>
      <c r="J4">
        <v>20</v>
      </c>
      <c r="K4">
        <v>1</v>
      </c>
      <c r="L4">
        <v>5</v>
      </c>
      <c r="M4" t="s">
        <v>609</v>
      </c>
    </row>
    <row r="5" spans="1:13" x14ac:dyDescent="0.3">
      <c r="A5" t="s">
        <v>614</v>
      </c>
      <c r="B5" t="s">
        <v>80</v>
      </c>
      <c r="C5" t="s">
        <v>615</v>
      </c>
      <c r="D5" t="s">
        <v>318</v>
      </c>
      <c r="E5" t="s">
        <v>318</v>
      </c>
      <c r="F5" t="s">
        <v>616</v>
      </c>
      <c r="G5" t="s">
        <v>594</v>
      </c>
      <c r="H5">
        <v>0.8</v>
      </c>
      <c r="I5">
        <v>645</v>
      </c>
      <c r="J5">
        <v>20</v>
      </c>
      <c r="K5">
        <v>1</v>
      </c>
      <c r="L5">
        <v>5</v>
      </c>
      <c r="M5" t="s">
        <v>609</v>
      </c>
    </row>
    <row r="6" spans="1:13" x14ac:dyDescent="0.3">
      <c r="A6" t="s">
        <v>617</v>
      </c>
      <c r="B6" t="s">
        <v>618</v>
      </c>
      <c r="C6" t="s">
        <v>619</v>
      </c>
      <c r="D6" t="s">
        <v>318</v>
      </c>
      <c r="E6" t="s">
        <v>318</v>
      </c>
      <c r="F6" t="s">
        <v>593</v>
      </c>
      <c r="G6" t="s">
        <v>594</v>
      </c>
      <c r="H6">
        <v>0.9</v>
      </c>
      <c r="I6">
        <v>200</v>
      </c>
      <c r="J6">
        <v>20</v>
      </c>
      <c r="K6">
        <v>1</v>
      </c>
      <c r="L6">
        <v>5</v>
      </c>
      <c r="M6" t="s">
        <v>587</v>
      </c>
    </row>
    <row r="7" spans="1:13" x14ac:dyDescent="0.3">
      <c r="A7" t="s">
        <v>620</v>
      </c>
      <c r="B7" t="s">
        <v>621</v>
      </c>
      <c r="C7" t="s">
        <v>622</v>
      </c>
      <c r="D7" t="s">
        <v>318</v>
      </c>
      <c r="E7" t="s">
        <v>318</v>
      </c>
      <c r="F7" t="s">
        <v>623</v>
      </c>
      <c r="G7" t="s">
        <v>594</v>
      </c>
      <c r="H7">
        <v>0.8</v>
      </c>
      <c r="I7">
        <v>200</v>
      </c>
      <c r="J7">
        <v>20</v>
      </c>
      <c r="K7">
        <v>1</v>
      </c>
      <c r="L7">
        <v>5</v>
      </c>
      <c r="M7" t="s">
        <v>587</v>
      </c>
    </row>
    <row r="8" spans="1:13" x14ac:dyDescent="0.3">
      <c r="A8" t="s">
        <v>624</v>
      </c>
      <c r="B8" t="s">
        <v>625</v>
      </c>
      <c r="C8" t="s">
        <v>626</v>
      </c>
      <c r="D8" t="s">
        <v>318</v>
      </c>
      <c r="E8" t="s">
        <v>318</v>
      </c>
      <c r="F8" t="s">
        <v>593</v>
      </c>
      <c r="G8" t="s">
        <v>594</v>
      </c>
      <c r="H8">
        <v>4</v>
      </c>
      <c r="I8">
        <v>200</v>
      </c>
      <c r="J8">
        <v>20</v>
      </c>
      <c r="K8">
        <v>1</v>
      </c>
      <c r="L8">
        <v>5</v>
      </c>
      <c r="M8" t="s">
        <v>587</v>
      </c>
    </row>
    <row r="9" spans="1:13" x14ac:dyDescent="0.3">
      <c r="A9" t="s">
        <v>588</v>
      </c>
      <c r="B9" t="s">
        <v>627</v>
      </c>
      <c r="C9" t="s">
        <v>628</v>
      </c>
      <c r="D9" t="s">
        <v>318</v>
      </c>
      <c r="E9" t="s">
        <v>318</v>
      </c>
      <c r="F9" t="s">
        <v>593</v>
      </c>
      <c r="G9" t="s">
        <v>594</v>
      </c>
      <c r="H9">
        <v>2.7</v>
      </c>
      <c r="I9">
        <v>200</v>
      </c>
      <c r="J9">
        <v>20</v>
      </c>
      <c r="K9">
        <v>1</v>
      </c>
      <c r="L9">
        <v>5</v>
      </c>
      <c r="M9" t="s">
        <v>587</v>
      </c>
    </row>
    <row r="10" spans="1:13" x14ac:dyDescent="0.3">
      <c r="A10" t="s">
        <v>595</v>
      </c>
      <c r="B10" t="s">
        <v>629</v>
      </c>
      <c r="C10" t="s">
        <v>630</v>
      </c>
      <c r="D10" t="s">
        <v>318</v>
      </c>
      <c r="E10" t="s">
        <v>318</v>
      </c>
      <c r="F10" t="s">
        <v>593</v>
      </c>
      <c r="G10" t="s">
        <v>594</v>
      </c>
      <c r="H10">
        <v>3</v>
      </c>
      <c r="I10">
        <v>200</v>
      </c>
      <c r="J10">
        <v>20</v>
      </c>
      <c r="K10">
        <v>1</v>
      </c>
      <c r="L10">
        <v>5</v>
      </c>
      <c r="M10" t="s">
        <v>587</v>
      </c>
    </row>
    <row r="11" spans="1:13" x14ac:dyDescent="0.3">
      <c r="A11" t="s">
        <v>631</v>
      </c>
      <c r="B11" t="s">
        <v>632</v>
      </c>
      <c r="C11" t="s">
        <v>615</v>
      </c>
      <c r="D11" t="s">
        <v>318</v>
      </c>
      <c r="E11" t="s">
        <v>318</v>
      </c>
      <c r="F11" t="s">
        <v>616</v>
      </c>
      <c r="G11" t="s">
        <v>599</v>
      </c>
      <c r="H11">
        <v>0.6</v>
      </c>
      <c r="I11">
        <v>100</v>
      </c>
      <c r="J11">
        <v>20</v>
      </c>
      <c r="K11">
        <v>1</v>
      </c>
      <c r="L11">
        <v>5</v>
      </c>
      <c r="M11" t="s">
        <v>587</v>
      </c>
    </row>
    <row r="12" spans="1:13" x14ac:dyDescent="0.3">
      <c r="A12" t="s">
        <v>633</v>
      </c>
      <c r="B12" t="s">
        <v>634</v>
      </c>
      <c r="C12" t="s">
        <v>626</v>
      </c>
      <c r="D12" t="s">
        <v>318</v>
      </c>
      <c r="E12" t="s">
        <v>318</v>
      </c>
      <c r="F12" t="s">
        <v>593</v>
      </c>
      <c r="G12" t="s">
        <v>599</v>
      </c>
      <c r="H12">
        <v>3</v>
      </c>
      <c r="I12">
        <v>100</v>
      </c>
      <c r="J12">
        <v>20</v>
      </c>
      <c r="K12">
        <v>1</v>
      </c>
      <c r="L12">
        <v>5</v>
      </c>
      <c r="M12" t="s">
        <v>587</v>
      </c>
    </row>
    <row r="13" spans="1:13" x14ac:dyDescent="0.3">
      <c r="A13" t="s">
        <v>635</v>
      </c>
      <c r="B13" t="s">
        <v>636</v>
      </c>
      <c r="C13" t="s">
        <v>630</v>
      </c>
      <c r="D13" t="s">
        <v>318</v>
      </c>
      <c r="E13" t="s">
        <v>318</v>
      </c>
      <c r="F13" t="s">
        <v>593</v>
      </c>
      <c r="G13" t="s">
        <v>599</v>
      </c>
      <c r="H13">
        <v>2.7</v>
      </c>
      <c r="I13">
        <v>100</v>
      </c>
      <c r="J13">
        <v>20</v>
      </c>
      <c r="K13">
        <v>1</v>
      </c>
      <c r="L13">
        <v>5</v>
      </c>
      <c r="M13" t="s">
        <v>587</v>
      </c>
    </row>
    <row r="14" spans="1:13" x14ac:dyDescent="0.3">
      <c r="A14" t="s">
        <v>1560</v>
      </c>
      <c r="B14" t="s">
        <v>1561</v>
      </c>
      <c r="C14" t="s">
        <v>615</v>
      </c>
      <c r="D14" t="s">
        <v>318</v>
      </c>
      <c r="E14" t="s">
        <v>318</v>
      </c>
      <c r="F14" t="s">
        <v>616</v>
      </c>
      <c r="G14" t="s">
        <v>599</v>
      </c>
      <c r="H14">
        <v>0.98</v>
      </c>
      <c r="I14">
        <v>100</v>
      </c>
      <c r="J14">
        <v>20</v>
      </c>
      <c r="K14">
        <v>1</v>
      </c>
      <c r="L14">
        <v>5</v>
      </c>
      <c r="M14" t="s">
        <v>587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8D219-DE79-441F-B37A-B4ABA95A8FE6}">
  <sheetPr>
    <tabColor theme="9" tint="0.39997558519241921"/>
  </sheetPr>
  <dimension ref="A1:J14"/>
  <sheetViews>
    <sheetView workbookViewId="0">
      <selection activeCell="D24" sqref="D24"/>
    </sheetView>
  </sheetViews>
  <sheetFormatPr baseColWidth="10" defaultRowHeight="14.4" x14ac:dyDescent="0.3"/>
  <cols>
    <col min="1" max="1" width="35.5546875" bestFit="1" customWidth="1"/>
    <col min="2" max="2" width="22.88671875" bestFit="1" customWidth="1"/>
  </cols>
  <sheetData>
    <row r="1" spans="1:10" x14ac:dyDescent="0.3">
      <c r="A1" t="s">
        <v>4</v>
      </c>
      <c r="B1" t="s">
        <v>352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513</v>
      </c>
    </row>
    <row r="2" spans="1:10" x14ac:dyDescent="0.3">
      <c r="A2" t="s">
        <v>422</v>
      </c>
      <c r="B2" t="s">
        <v>637</v>
      </c>
      <c r="C2" t="s">
        <v>514</v>
      </c>
      <c r="D2" t="s">
        <v>514</v>
      </c>
      <c r="E2">
        <v>0</v>
      </c>
      <c r="F2">
        <v>0</v>
      </c>
      <c r="G2">
        <v>20</v>
      </c>
      <c r="H2">
        <v>1</v>
      </c>
      <c r="I2">
        <v>5</v>
      </c>
      <c r="J2" t="s">
        <v>587</v>
      </c>
    </row>
    <row r="3" spans="1:10" x14ac:dyDescent="0.3">
      <c r="A3" t="s">
        <v>606</v>
      </c>
      <c r="B3" t="s">
        <v>58</v>
      </c>
      <c r="C3" t="s">
        <v>608</v>
      </c>
      <c r="D3" t="s">
        <v>594</v>
      </c>
      <c r="E3">
        <v>0.8</v>
      </c>
      <c r="F3">
        <v>493</v>
      </c>
      <c r="G3">
        <v>20</v>
      </c>
      <c r="H3">
        <v>1</v>
      </c>
      <c r="I3">
        <v>5</v>
      </c>
      <c r="J3" t="s">
        <v>609</v>
      </c>
    </row>
    <row r="4" spans="1:10" x14ac:dyDescent="0.3">
      <c r="A4" t="s">
        <v>610</v>
      </c>
      <c r="B4" t="s">
        <v>638</v>
      </c>
      <c r="C4" t="s">
        <v>613</v>
      </c>
      <c r="D4" t="s">
        <v>594</v>
      </c>
      <c r="E4">
        <v>0.6</v>
      </c>
      <c r="F4">
        <v>367</v>
      </c>
      <c r="G4">
        <v>20</v>
      </c>
      <c r="H4">
        <v>1</v>
      </c>
      <c r="I4">
        <v>5</v>
      </c>
      <c r="J4" t="s">
        <v>609</v>
      </c>
    </row>
    <row r="5" spans="1:10" x14ac:dyDescent="0.3">
      <c r="A5" t="s">
        <v>614</v>
      </c>
      <c r="B5" t="s">
        <v>81</v>
      </c>
      <c r="C5" t="s">
        <v>616</v>
      </c>
      <c r="D5" t="s">
        <v>594</v>
      </c>
      <c r="E5">
        <v>0.8</v>
      </c>
      <c r="F5">
        <v>645</v>
      </c>
      <c r="G5">
        <v>20</v>
      </c>
      <c r="H5">
        <v>1</v>
      </c>
      <c r="I5">
        <v>5</v>
      </c>
      <c r="J5" t="s">
        <v>609</v>
      </c>
    </row>
    <row r="6" spans="1:10" x14ac:dyDescent="0.3">
      <c r="A6" t="s">
        <v>617</v>
      </c>
      <c r="B6" t="s">
        <v>639</v>
      </c>
      <c r="C6" t="s">
        <v>593</v>
      </c>
      <c r="D6" t="s">
        <v>594</v>
      </c>
      <c r="E6">
        <v>0.9</v>
      </c>
      <c r="F6">
        <v>167</v>
      </c>
      <c r="G6">
        <v>5</v>
      </c>
      <c r="H6">
        <v>1</v>
      </c>
      <c r="I6">
        <v>5</v>
      </c>
      <c r="J6" t="s">
        <v>640</v>
      </c>
    </row>
    <row r="7" spans="1:10" x14ac:dyDescent="0.3">
      <c r="A7" t="s">
        <v>620</v>
      </c>
      <c r="B7" t="s">
        <v>641</v>
      </c>
      <c r="C7" t="s">
        <v>623</v>
      </c>
      <c r="D7" t="s">
        <v>594</v>
      </c>
      <c r="E7">
        <v>0.8</v>
      </c>
      <c r="F7">
        <v>200</v>
      </c>
      <c r="G7">
        <v>20</v>
      </c>
      <c r="H7">
        <v>1</v>
      </c>
      <c r="I7">
        <v>5</v>
      </c>
      <c r="J7" t="s">
        <v>587</v>
      </c>
    </row>
    <row r="8" spans="1:10" x14ac:dyDescent="0.3">
      <c r="A8" t="s">
        <v>624</v>
      </c>
      <c r="B8" t="s">
        <v>642</v>
      </c>
      <c r="C8" t="s">
        <v>593</v>
      </c>
      <c r="D8" t="s">
        <v>594</v>
      </c>
      <c r="E8">
        <v>4</v>
      </c>
      <c r="F8">
        <v>200</v>
      </c>
      <c r="G8">
        <v>20</v>
      </c>
      <c r="H8">
        <v>1</v>
      </c>
      <c r="I8">
        <v>5</v>
      </c>
      <c r="J8" t="s">
        <v>587</v>
      </c>
    </row>
    <row r="9" spans="1:10" x14ac:dyDescent="0.3">
      <c r="A9" t="s">
        <v>588</v>
      </c>
      <c r="B9" t="s">
        <v>643</v>
      </c>
      <c r="C9" t="s">
        <v>593</v>
      </c>
      <c r="D9" t="s">
        <v>594</v>
      </c>
      <c r="E9">
        <v>2.7</v>
      </c>
      <c r="F9">
        <v>200</v>
      </c>
      <c r="G9">
        <v>20</v>
      </c>
      <c r="H9">
        <v>1</v>
      </c>
      <c r="I9">
        <v>5</v>
      </c>
      <c r="J9" t="s">
        <v>587</v>
      </c>
    </row>
    <row r="10" spans="1:10" x14ac:dyDescent="0.3">
      <c r="A10" t="s">
        <v>595</v>
      </c>
      <c r="B10" t="s">
        <v>644</v>
      </c>
      <c r="C10" t="s">
        <v>593</v>
      </c>
      <c r="D10" t="s">
        <v>594</v>
      </c>
      <c r="E10">
        <v>3</v>
      </c>
      <c r="F10">
        <v>200</v>
      </c>
      <c r="G10">
        <v>20</v>
      </c>
      <c r="H10">
        <v>1</v>
      </c>
      <c r="I10">
        <v>5</v>
      </c>
      <c r="J10" t="s">
        <v>587</v>
      </c>
    </row>
    <row r="11" spans="1:10" x14ac:dyDescent="0.3">
      <c r="A11" t="s">
        <v>631</v>
      </c>
      <c r="B11" t="s">
        <v>645</v>
      </c>
      <c r="C11" t="s">
        <v>616</v>
      </c>
      <c r="D11" t="s">
        <v>599</v>
      </c>
      <c r="E11">
        <v>0.6</v>
      </c>
      <c r="F11">
        <v>100</v>
      </c>
      <c r="G11">
        <v>20</v>
      </c>
      <c r="H11">
        <v>1</v>
      </c>
      <c r="I11">
        <v>5</v>
      </c>
      <c r="J11" t="s">
        <v>587</v>
      </c>
    </row>
    <row r="12" spans="1:10" x14ac:dyDescent="0.3">
      <c r="A12" t="s">
        <v>633</v>
      </c>
      <c r="B12" t="s">
        <v>646</v>
      </c>
      <c r="C12" t="s">
        <v>593</v>
      </c>
      <c r="D12" t="s">
        <v>599</v>
      </c>
      <c r="E12">
        <v>0.6</v>
      </c>
      <c r="F12">
        <v>100</v>
      </c>
      <c r="G12">
        <v>20</v>
      </c>
      <c r="H12">
        <v>1</v>
      </c>
      <c r="I12">
        <v>5</v>
      </c>
      <c r="J12" t="s">
        <v>587</v>
      </c>
    </row>
    <row r="13" spans="1:10" x14ac:dyDescent="0.3">
      <c r="A13" t="s">
        <v>635</v>
      </c>
      <c r="B13" t="s">
        <v>647</v>
      </c>
      <c r="C13" t="s">
        <v>593</v>
      </c>
      <c r="D13" t="s">
        <v>599</v>
      </c>
      <c r="E13">
        <v>2.7</v>
      </c>
      <c r="F13">
        <v>100</v>
      </c>
      <c r="G13">
        <v>20</v>
      </c>
      <c r="H13">
        <v>1</v>
      </c>
      <c r="I13">
        <v>5</v>
      </c>
      <c r="J13" t="s">
        <v>587</v>
      </c>
    </row>
    <row r="14" spans="1:10" x14ac:dyDescent="0.3">
      <c r="A14" t="s">
        <v>1560</v>
      </c>
      <c r="B14" t="s">
        <v>1566</v>
      </c>
      <c r="C14" t="s">
        <v>616</v>
      </c>
      <c r="D14" t="s">
        <v>599</v>
      </c>
      <c r="E14">
        <v>0.98</v>
      </c>
      <c r="F14">
        <v>100</v>
      </c>
      <c r="G14">
        <v>20</v>
      </c>
      <c r="H14">
        <v>1</v>
      </c>
      <c r="I14">
        <v>5</v>
      </c>
      <c r="J14" t="s">
        <v>587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D697-F9D6-4D61-B232-86B86BAE648C}">
  <dimension ref="A1:I23"/>
  <sheetViews>
    <sheetView workbookViewId="0">
      <selection activeCell="J28" sqref="J28"/>
    </sheetView>
  </sheetViews>
  <sheetFormatPr baseColWidth="10" defaultRowHeight="14.4" x14ac:dyDescent="0.3"/>
  <cols>
    <col min="1" max="1" width="44.5546875" customWidth="1"/>
  </cols>
  <sheetData>
    <row r="1" spans="1:9" x14ac:dyDescent="0.3">
      <c r="A1" t="s">
        <v>4</v>
      </c>
      <c r="B1" t="s">
        <v>352</v>
      </c>
      <c r="C1" t="s">
        <v>648</v>
      </c>
      <c r="D1" t="s">
        <v>649</v>
      </c>
      <c r="E1" t="s">
        <v>650</v>
      </c>
      <c r="F1" t="s">
        <v>651</v>
      </c>
      <c r="G1" t="s">
        <v>652</v>
      </c>
      <c r="H1" t="s">
        <v>653</v>
      </c>
      <c r="I1" t="s">
        <v>513</v>
      </c>
    </row>
    <row r="2" spans="1:9" x14ac:dyDescent="0.3">
      <c r="A2" t="s">
        <v>654</v>
      </c>
      <c r="B2" t="s">
        <v>655</v>
      </c>
      <c r="C2" t="s">
        <v>656</v>
      </c>
      <c r="D2" t="s">
        <v>657</v>
      </c>
      <c r="E2" t="s">
        <v>658</v>
      </c>
      <c r="F2" t="s">
        <v>716</v>
      </c>
      <c r="G2" t="s">
        <v>717</v>
      </c>
      <c r="H2" t="s">
        <v>318</v>
      </c>
      <c r="I2" t="s">
        <v>420</v>
      </c>
    </row>
    <row r="3" spans="1:9" x14ac:dyDescent="0.3">
      <c r="A3" t="s">
        <v>659</v>
      </c>
      <c r="B3" t="s">
        <v>660</v>
      </c>
      <c r="C3" t="s">
        <v>656</v>
      </c>
      <c r="D3" t="s">
        <v>657</v>
      </c>
      <c r="E3" t="s">
        <v>658</v>
      </c>
      <c r="F3" t="s">
        <v>716</v>
      </c>
      <c r="G3" t="s">
        <v>718</v>
      </c>
      <c r="H3" t="s">
        <v>318</v>
      </c>
      <c r="I3" t="s">
        <v>420</v>
      </c>
    </row>
    <row r="4" spans="1:9" x14ac:dyDescent="0.3">
      <c r="A4" t="s">
        <v>661</v>
      </c>
      <c r="B4" t="s">
        <v>662</v>
      </c>
      <c r="C4" t="s">
        <v>656</v>
      </c>
      <c r="D4" t="s">
        <v>657</v>
      </c>
      <c r="E4" t="s">
        <v>658</v>
      </c>
      <c r="F4" t="s">
        <v>716</v>
      </c>
      <c r="G4" t="s">
        <v>719</v>
      </c>
      <c r="H4" t="s">
        <v>318</v>
      </c>
      <c r="I4" t="s">
        <v>420</v>
      </c>
    </row>
    <row r="5" spans="1:9" x14ac:dyDescent="0.3">
      <c r="A5" t="s">
        <v>663</v>
      </c>
      <c r="B5" t="s">
        <v>664</v>
      </c>
      <c r="C5" t="s">
        <v>656</v>
      </c>
      <c r="D5" t="s">
        <v>657</v>
      </c>
      <c r="E5" t="s">
        <v>658</v>
      </c>
      <c r="F5" t="s">
        <v>716</v>
      </c>
      <c r="G5" t="s">
        <v>720</v>
      </c>
      <c r="H5" t="s">
        <v>318</v>
      </c>
      <c r="I5" t="s">
        <v>420</v>
      </c>
    </row>
    <row r="6" spans="1:9" x14ac:dyDescent="0.3">
      <c r="A6" t="s">
        <v>665</v>
      </c>
      <c r="B6" t="s">
        <v>666</v>
      </c>
      <c r="C6" t="s">
        <v>656</v>
      </c>
      <c r="D6" t="s">
        <v>667</v>
      </c>
      <c r="E6" t="s">
        <v>658</v>
      </c>
      <c r="F6" t="s">
        <v>716</v>
      </c>
      <c r="G6" t="s">
        <v>721</v>
      </c>
      <c r="H6" t="s">
        <v>318</v>
      </c>
      <c r="I6" t="s">
        <v>420</v>
      </c>
    </row>
    <row r="7" spans="1:9" x14ac:dyDescent="0.3">
      <c r="A7" t="s">
        <v>668</v>
      </c>
      <c r="B7" t="s">
        <v>669</v>
      </c>
      <c r="C7" t="s">
        <v>656</v>
      </c>
      <c r="D7" t="s">
        <v>670</v>
      </c>
      <c r="E7" t="s">
        <v>658</v>
      </c>
      <c r="F7" t="s">
        <v>716</v>
      </c>
      <c r="G7" t="s">
        <v>717</v>
      </c>
      <c r="H7" t="s">
        <v>318</v>
      </c>
      <c r="I7" t="s">
        <v>420</v>
      </c>
    </row>
    <row r="8" spans="1:9" x14ac:dyDescent="0.3">
      <c r="A8" t="s">
        <v>671</v>
      </c>
      <c r="B8" t="s">
        <v>672</v>
      </c>
      <c r="C8" t="s">
        <v>656</v>
      </c>
      <c r="D8" t="s">
        <v>670</v>
      </c>
      <c r="E8" t="s">
        <v>658</v>
      </c>
      <c r="F8" t="s">
        <v>716</v>
      </c>
      <c r="G8" t="s">
        <v>722</v>
      </c>
      <c r="H8" t="s">
        <v>318</v>
      </c>
      <c r="I8" t="s">
        <v>420</v>
      </c>
    </row>
    <row r="9" spans="1:9" x14ac:dyDescent="0.3">
      <c r="A9" t="s">
        <v>673</v>
      </c>
      <c r="B9" t="s">
        <v>674</v>
      </c>
      <c r="C9" t="s">
        <v>656</v>
      </c>
      <c r="D9" t="s">
        <v>670</v>
      </c>
      <c r="E9" t="s">
        <v>658</v>
      </c>
      <c r="F9" t="s">
        <v>716</v>
      </c>
      <c r="G9" t="s">
        <v>723</v>
      </c>
      <c r="H9" t="s">
        <v>318</v>
      </c>
      <c r="I9" t="s">
        <v>420</v>
      </c>
    </row>
    <row r="10" spans="1:9" x14ac:dyDescent="0.3">
      <c r="A10" t="s">
        <v>675</v>
      </c>
      <c r="B10" t="s">
        <v>676</v>
      </c>
      <c r="C10" t="s">
        <v>656</v>
      </c>
      <c r="D10" t="s">
        <v>670</v>
      </c>
      <c r="E10" t="s">
        <v>658</v>
      </c>
      <c r="F10" t="s">
        <v>716</v>
      </c>
      <c r="G10" t="s">
        <v>724</v>
      </c>
      <c r="H10" t="s">
        <v>318</v>
      </c>
      <c r="I10" t="s">
        <v>420</v>
      </c>
    </row>
    <row r="11" spans="1:9" x14ac:dyDescent="0.3">
      <c r="A11" t="s">
        <v>677</v>
      </c>
      <c r="B11" t="s">
        <v>678</v>
      </c>
      <c r="C11" t="s">
        <v>656</v>
      </c>
      <c r="D11" t="s">
        <v>670</v>
      </c>
      <c r="E11" t="s">
        <v>658</v>
      </c>
      <c r="F11" t="s">
        <v>716</v>
      </c>
      <c r="G11" t="s">
        <v>720</v>
      </c>
      <c r="H11" t="s">
        <v>318</v>
      </c>
      <c r="I11" t="s">
        <v>420</v>
      </c>
    </row>
    <row r="12" spans="1:9" x14ac:dyDescent="0.3">
      <c r="A12" t="s">
        <v>679</v>
      </c>
      <c r="B12" t="s">
        <v>680</v>
      </c>
      <c r="C12" t="s">
        <v>656</v>
      </c>
      <c r="D12" t="s">
        <v>670</v>
      </c>
      <c r="E12" t="s">
        <v>658</v>
      </c>
      <c r="F12" t="s">
        <v>716</v>
      </c>
      <c r="G12" t="s">
        <v>721</v>
      </c>
      <c r="H12" t="s">
        <v>318</v>
      </c>
      <c r="I12" t="s">
        <v>420</v>
      </c>
    </row>
    <row r="13" spans="1:9" x14ac:dyDescent="0.3">
      <c r="A13" t="s">
        <v>691</v>
      </c>
      <c r="B13" t="s">
        <v>692</v>
      </c>
      <c r="C13" t="s">
        <v>693</v>
      </c>
      <c r="D13" t="s">
        <v>694</v>
      </c>
      <c r="E13" t="s">
        <v>695</v>
      </c>
      <c r="F13" t="s">
        <v>318</v>
      </c>
      <c r="G13" t="s">
        <v>318</v>
      </c>
      <c r="H13" t="s">
        <v>623</v>
      </c>
      <c r="I13" t="s">
        <v>731</v>
      </c>
    </row>
    <row r="14" spans="1:9" x14ac:dyDescent="0.3">
      <c r="A14" t="s">
        <v>696</v>
      </c>
      <c r="B14" t="s">
        <v>697</v>
      </c>
      <c r="C14" t="s">
        <v>693</v>
      </c>
      <c r="D14" t="s">
        <v>694</v>
      </c>
      <c r="E14" t="s">
        <v>695</v>
      </c>
      <c r="F14" t="s">
        <v>318</v>
      </c>
      <c r="G14" t="s">
        <v>318</v>
      </c>
      <c r="H14" t="s">
        <v>698</v>
      </c>
      <c r="I14" t="s">
        <v>732</v>
      </c>
    </row>
    <row r="15" spans="1:9" x14ac:dyDescent="0.3">
      <c r="A15" t="s">
        <v>699</v>
      </c>
      <c r="B15" t="s">
        <v>700</v>
      </c>
      <c r="C15" t="s">
        <v>693</v>
      </c>
      <c r="D15" t="s">
        <v>694</v>
      </c>
      <c r="E15" t="s">
        <v>695</v>
      </c>
      <c r="F15" t="s">
        <v>318</v>
      </c>
      <c r="G15" t="s">
        <v>318</v>
      </c>
      <c r="H15" t="s">
        <v>701</v>
      </c>
      <c r="I15" t="s">
        <v>732</v>
      </c>
    </row>
    <row r="16" spans="1:9" x14ac:dyDescent="0.3">
      <c r="A16" t="s">
        <v>702</v>
      </c>
      <c r="B16" t="s">
        <v>703</v>
      </c>
      <c r="C16" t="s">
        <v>693</v>
      </c>
      <c r="D16" t="s">
        <v>704</v>
      </c>
      <c r="E16" t="s">
        <v>695</v>
      </c>
      <c r="F16" t="s">
        <v>318</v>
      </c>
      <c r="G16" t="s">
        <v>318</v>
      </c>
      <c r="H16" t="s">
        <v>613</v>
      </c>
      <c r="I16" t="s">
        <v>733</v>
      </c>
    </row>
    <row r="17" spans="1:9" x14ac:dyDescent="0.3">
      <c r="A17" t="s">
        <v>705</v>
      </c>
      <c r="B17" t="s">
        <v>706</v>
      </c>
      <c r="C17" t="s">
        <v>693</v>
      </c>
      <c r="D17" t="s">
        <v>704</v>
      </c>
      <c r="E17" t="s">
        <v>695</v>
      </c>
      <c r="F17" t="s">
        <v>318</v>
      </c>
      <c r="G17" t="s">
        <v>318</v>
      </c>
      <c r="H17" t="s">
        <v>608</v>
      </c>
      <c r="I17" t="s">
        <v>734</v>
      </c>
    </row>
    <row r="18" spans="1:9" x14ac:dyDescent="0.3">
      <c r="A18" t="s">
        <v>707</v>
      </c>
      <c r="B18" t="s">
        <v>708</v>
      </c>
      <c r="C18" t="s">
        <v>693</v>
      </c>
      <c r="D18" t="s">
        <v>704</v>
      </c>
      <c r="E18" t="s">
        <v>695</v>
      </c>
      <c r="F18" t="s">
        <v>318</v>
      </c>
      <c r="G18" t="s">
        <v>318</v>
      </c>
      <c r="H18" t="s">
        <v>616</v>
      </c>
      <c r="I18" t="s">
        <v>735</v>
      </c>
    </row>
    <row r="19" spans="1:9" x14ac:dyDescent="0.3">
      <c r="A19" t="s">
        <v>709</v>
      </c>
      <c r="B19" t="s">
        <v>710</v>
      </c>
      <c r="C19" t="s">
        <v>693</v>
      </c>
      <c r="D19" t="s">
        <v>694</v>
      </c>
      <c r="E19" t="s">
        <v>695</v>
      </c>
      <c r="F19" t="s">
        <v>318</v>
      </c>
      <c r="G19" t="s">
        <v>318</v>
      </c>
      <c r="H19" t="s">
        <v>711</v>
      </c>
      <c r="I19" t="s">
        <v>736</v>
      </c>
    </row>
    <row r="20" spans="1:9" x14ac:dyDescent="0.3">
      <c r="A20" t="s">
        <v>712</v>
      </c>
      <c r="B20" t="s">
        <v>713</v>
      </c>
      <c r="C20" t="s">
        <v>693</v>
      </c>
      <c r="D20" t="s">
        <v>694</v>
      </c>
      <c r="E20" t="s">
        <v>695</v>
      </c>
      <c r="F20" t="s">
        <v>318</v>
      </c>
      <c r="G20" t="s">
        <v>318</v>
      </c>
      <c r="H20" t="s">
        <v>714</v>
      </c>
      <c r="I20" t="s">
        <v>715</v>
      </c>
    </row>
    <row r="21" spans="1:9" x14ac:dyDescent="0.3">
      <c r="A21" t="s">
        <v>681</v>
      </c>
      <c r="B21" t="s">
        <v>682</v>
      </c>
      <c r="C21" t="s">
        <v>683</v>
      </c>
      <c r="D21" t="s">
        <v>684</v>
      </c>
      <c r="E21" t="s">
        <v>685</v>
      </c>
      <c r="F21" t="s">
        <v>686</v>
      </c>
      <c r="G21" t="s">
        <v>725</v>
      </c>
      <c r="H21" t="s">
        <v>593</v>
      </c>
      <c r="I21" t="s">
        <v>726</v>
      </c>
    </row>
    <row r="22" spans="1:9" x14ac:dyDescent="0.3">
      <c r="A22" t="s">
        <v>687</v>
      </c>
      <c r="B22" t="s">
        <v>688</v>
      </c>
      <c r="C22" t="s">
        <v>683</v>
      </c>
      <c r="D22" t="s">
        <v>684</v>
      </c>
      <c r="E22" t="s">
        <v>685</v>
      </c>
      <c r="F22" t="s">
        <v>686</v>
      </c>
      <c r="G22" t="s">
        <v>727</v>
      </c>
      <c r="H22" t="s">
        <v>593</v>
      </c>
      <c r="I22" t="s">
        <v>728</v>
      </c>
    </row>
    <row r="23" spans="1:9" x14ac:dyDescent="0.3">
      <c r="A23" t="s">
        <v>689</v>
      </c>
      <c r="B23" t="s">
        <v>690</v>
      </c>
      <c r="C23" t="s">
        <v>683</v>
      </c>
      <c r="D23" t="s">
        <v>684</v>
      </c>
      <c r="E23" t="s">
        <v>685</v>
      </c>
      <c r="F23" t="s">
        <v>686</v>
      </c>
      <c r="G23" t="s">
        <v>729</v>
      </c>
      <c r="H23" t="s">
        <v>593</v>
      </c>
      <c r="I23" t="s">
        <v>730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C2A3C-4105-4E1A-A704-6F6363257FC2}">
  <dimension ref="A1:E25"/>
  <sheetViews>
    <sheetView workbookViewId="0"/>
  </sheetViews>
  <sheetFormatPr baseColWidth="10" defaultRowHeight="14.4" x14ac:dyDescent="0.3"/>
  <cols>
    <col min="1" max="1" width="11.109375" customWidth="1"/>
    <col min="2" max="2" width="15.33203125" customWidth="1"/>
    <col min="3" max="3" width="25" customWidth="1"/>
    <col min="4" max="4" width="24.88671875" customWidth="1"/>
  </cols>
  <sheetData>
    <row r="1" spans="1:5" x14ac:dyDescent="0.3">
      <c r="A1" t="s">
        <v>737</v>
      </c>
      <c r="B1" t="s">
        <v>738</v>
      </c>
      <c r="C1" t="s">
        <v>739</v>
      </c>
      <c r="D1" t="s">
        <v>740</v>
      </c>
      <c r="E1" t="s">
        <v>513</v>
      </c>
    </row>
    <row r="2" spans="1:5" x14ac:dyDescent="0.3">
      <c r="A2">
        <v>0</v>
      </c>
      <c r="B2">
        <v>3.4722222222222203E-2</v>
      </c>
      <c r="C2">
        <v>0.22</v>
      </c>
      <c r="D2">
        <v>0.22</v>
      </c>
      <c r="E2" t="s">
        <v>741</v>
      </c>
    </row>
    <row r="3" spans="1:5" x14ac:dyDescent="0.3">
      <c r="A3">
        <v>1</v>
      </c>
      <c r="B3">
        <v>3.4722222222222203E-2</v>
      </c>
      <c r="C3">
        <v>0.22</v>
      </c>
      <c r="D3">
        <v>0.22</v>
      </c>
      <c r="E3" t="s">
        <v>741</v>
      </c>
    </row>
    <row r="4" spans="1:5" x14ac:dyDescent="0.3">
      <c r="A4">
        <v>2</v>
      </c>
      <c r="B4">
        <v>3.4722222222222203E-2</v>
      </c>
      <c r="C4">
        <v>0.22</v>
      </c>
      <c r="D4">
        <v>0.22</v>
      </c>
      <c r="E4" t="s">
        <v>741</v>
      </c>
    </row>
    <row r="5" spans="1:5" x14ac:dyDescent="0.3">
      <c r="A5">
        <v>3</v>
      </c>
      <c r="B5">
        <v>3.4722222222222203E-2</v>
      </c>
      <c r="C5">
        <v>0.22</v>
      </c>
      <c r="D5">
        <v>0.22</v>
      </c>
      <c r="E5" t="s">
        <v>741</v>
      </c>
    </row>
    <row r="6" spans="1:5" x14ac:dyDescent="0.3">
      <c r="A6">
        <v>4</v>
      </c>
      <c r="B6">
        <v>3.4722222222222203E-2</v>
      </c>
      <c r="C6">
        <v>0.22</v>
      </c>
      <c r="D6">
        <v>0.22</v>
      </c>
      <c r="E6" t="s">
        <v>741</v>
      </c>
    </row>
    <row r="7" spans="1:5" x14ac:dyDescent="0.3">
      <c r="A7">
        <v>5</v>
      </c>
      <c r="B7">
        <v>3.4722222222222203E-2</v>
      </c>
      <c r="C7">
        <v>0.22</v>
      </c>
      <c r="D7">
        <v>0.22</v>
      </c>
      <c r="E7" t="s">
        <v>741</v>
      </c>
    </row>
    <row r="8" spans="1:5" x14ac:dyDescent="0.3">
      <c r="A8">
        <v>6</v>
      </c>
      <c r="B8">
        <v>3.4722222222222203E-2</v>
      </c>
      <c r="C8">
        <v>0.22</v>
      </c>
      <c r="D8">
        <v>0.22</v>
      </c>
      <c r="E8" t="s">
        <v>741</v>
      </c>
    </row>
    <row r="9" spans="1:5" x14ac:dyDescent="0.3">
      <c r="A9">
        <v>7</v>
      </c>
      <c r="B9">
        <v>3.4722222222222203E-2</v>
      </c>
      <c r="C9">
        <v>0.22</v>
      </c>
      <c r="D9">
        <v>0.22</v>
      </c>
      <c r="E9" t="s">
        <v>741</v>
      </c>
    </row>
    <row r="10" spans="1:5" x14ac:dyDescent="0.3">
      <c r="A10">
        <v>8</v>
      </c>
      <c r="B10">
        <v>3.4722222222222203E-2</v>
      </c>
      <c r="C10">
        <v>0.22</v>
      </c>
      <c r="D10">
        <v>0.22</v>
      </c>
      <c r="E10" t="s">
        <v>741</v>
      </c>
    </row>
    <row r="11" spans="1:5" x14ac:dyDescent="0.3">
      <c r="A11">
        <v>9</v>
      </c>
      <c r="B11">
        <v>3.4722222222222203E-2</v>
      </c>
      <c r="C11">
        <v>0.22</v>
      </c>
      <c r="D11">
        <v>0.22</v>
      </c>
      <c r="E11" t="s">
        <v>741</v>
      </c>
    </row>
    <row r="12" spans="1:5" x14ac:dyDescent="0.3">
      <c r="A12">
        <v>10</v>
      </c>
      <c r="B12">
        <v>3.4722222222222203E-2</v>
      </c>
      <c r="C12">
        <v>0.22</v>
      </c>
      <c r="D12">
        <v>0.22</v>
      </c>
      <c r="E12" t="s">
        <v>741</v>
      </c>
    </row>
    <row r="13" spans="1:5" x14ac:dyDescent="0.3">
      <c r="A13">
        <v>11</v>
      </c>
      <c r="B13">
        <v>3.4722222222222203E-2</v>
      </c>
      <c r="C13">
        <v>0.22</v>
      </c>
      <c r="D13">
        <v>0.22</v>
      </c>
      <c r="E13" t="s">
        <v>741</v>
      </c>
    </row>
    <row r="14" spans="1:5" x14ac:dyDescent="0.3">
      <c r="A14">
        <v>12</v>
      </c>
      <c r="B14">
        <v>3.4722222222222203E-2</v>
      </c>
      <c r="C14">
        <v>0.22</v>
      </c>
      <c r="D14">
        <v>0.22</v>
      </c>
      <c r="E14" t="s">
        <v>741</v>
      </c>
    </row>
    <row r="15" spans="1:5" x14ac:dyDescent="0.3">
      <c r="A15">
        <v>13</v>
      </c>
      <c r="B15">
        <v>3.4722222222222203E-2</v>
      </c>
      <c r="C15">
        <v>0.22</v>
      </c>
      <c r="D15">
        <v>0.22</v>
      </c>
      <c r="E15" t="s">
        <v>741</v>
      </c>
    </row>
    <row r="16" spans="1:5" x14ac:dyDescent="0.3">
      <c r="A16">
        <v>14</v>
      </c>
      <c r="B16">
        <v>3.4722222222222203E-2</v>
      </c>
      <c r="C16">
        <v>0.22</v>
      </c>
      <c r="D16">
        <v>0.22</v>
      </c>
      <c r="E16" t="s">
        <v>741</v>
      </c>
    </row>
    <row r="17" spans="1:5" x14ac:dyDescent="0.3">
      <c r="A17">
        <v>15</v>
      </c>
      <c r="B17">
        <v>3.4722222222222203E-2</v>
      </c>
      <c r="C17">
        <v>0.22</v>
      </c>
      <c r="D17">
        <v>0.22</v>
      </c>
      <c r="E17" t="s">
        <v>741</v>
      </c>
    </row>
    <row r="18" spans="1:5" x14ac:dyDescent="0.3">
      <c r="A18">
        <v>16</v>
      </c>
      <c r="B18">
        <v>3.4722222222222203E-2</v>
      </c>
      <c r="C18">
        <v>0.22</v>
      </c>
      <c r="D18">
        <v>0.22</v>
      </c>
      <c r="E18" t="s">
        <v>741</v>
      </c>
    </row>
    <row r="19" spans="1:5" x14ac:dyDescent="0.3">
      <c r="A19">
        <v>17</v>
      </c>
      <c r="B19">
        <v>3.4722222222222203E-2</v>
      </c>
      <c r="C19">
        <v>0.22</v>
      </c>
      <c r="D19">
        <v>0.22</v>
      </c>
      <c r="E19" t="s">
        <v>741</v>
      </c>
    </row>
    <row r="20" spans="1:5" x14ac:dyDescent="0.3">
      <c r="A20">
        <v>18</v>
      </c>
      <c r="B20">
        <v>3.4722222222222203E-2</v>
      </c>
      <c r="C20">
        <v>0.22</v>
      </c>
      <c r="D20">
        <v>0.22</v>
      </c>
      <c r="E20" t="s">
        <v>741</v>
      </c>
    </row>
    <row r="21" spans="1:5" x14ac:dyDescent="0.3">
      <c r="A21">
        <v>19</v>
      </c>
      <c r="B21">
        <v>3.4722222222222203E-2</v>
      </c>
      <c r="C21">
        <v>0.22</v>
      </c>
      <c r="D21">
        <v>0.22</v>
      </c>
      <c r="E21" t="s">
        <v>741</v>
      </c>
    </row>
    <row r="22" spans="1:5" x14ac:dyDescent="0.3">
      <c r="A22">
        <v>20</v>
      </c>
      <c r="B22">
        <v>3.4722222222222203E-2</v>
      </c>
      <c r="C22">
        <v>0.22</v>
      </c>
      <c r="D22">
        <v>0.22</v>
      </c>
      <c r="E22" t="s">
        <v>741</v>
      </c>
    </row>
    <row r="23" spans="1:5" x14ac:dyDescent="0.3">
      <c r="A23">
        <v>21</v>
      </c>
      <c r="B23">
        <v>3.4722222222222203E-2</v>
      </c>
      <c r="C23">
        <v>0.22</v>
      </c>
      <c r="D23">
        <v>0.22</v>
      </c>
      <c r="E23" t="s">
        <v>741</v>
      </c>
    </row>
    <row r="24" spans="1:5" x14ac:dyDescent="0.3">
      <c r="A24">
        <v>22</v>
      </c>
      <c r="B24">
        <v>3.4722222222222203E-2</v>
      </c>
      <c r="C24">
        <v>0.22</v>
      </c>
      <c r="D24">
        <v>0.22</v>
      </c>
      <c r="E24" t="s">
        <v>741</v>
      </c>
    </row>
    <row r="25" spans="1:5" x14ac:dyDescent="0.3">
      <c r="A25">
        <v>23</v>
      </c>
      <c r="B25">
        <v>3.4722222222222203E-2</v>
      </c>
      <c r="C25">
        <v>0.22</v>
      </c>
      <c r="D25">
        <v>0.22</v>
      </c>
      <c r="E25" t="s">
        <v>741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2309E-5955-4CF1-B741-4E3BFED2DBAC}">
  <dimension ref="A1:E25"/>
  <sheetViews>
    <sheetView workbookViewId="0">
      <selection activeCell="N20" sqref="N20"/>
    </sheetView>
  </sheetViews>
  <sheetFormatPr baseColWidth="10" defaultRowHeight="14.4" x14ac:dyDescent="0.3"/>
  <cols>
    <col min="1" max="1" width="11.109375" customWidth="1"/>
    <col min="2" max="2" width="15.33203125" customWidth="1"/>
    <col min="3" max="3" width="25" customWidth="1"/>
    <col min="4" max="4" width="24.88671875" customWidth="1"/>
  </cols>
  <sheetData>
    <row r="1" spans="1:5" x14ac:dyDescent="0.3">
      <c r="A1" t="s">
        <v>737</v>
      </c>
      <c r="B1" t="s">
        <v>738</v>
      </c>
      <c r="C1" t="s">
        <v>739</v>
      </c>
      <c r="D1" t="s">
        <v>740</v>
      </c>
      <c r="E1" t="s">
        <v>513</v>
      </c>
    </row>
    <row r="2" spans="1:5" x14ac:dyDescent="0.3">
      <c r="A2">
        <v>0</v>
      </c>
      <c r="B2">
        <v>4.3333333333333335E-2</v>
      </c>
      <c r="C2">
        <v>0.22</v>
      </c>
      <c r="D2">
        <v>0.22</v>
      </c>
      <c r="E2" t="s">
        <v>1558</v>
      </c>
    </row>
    <row r="3" spans="1:5" x14ac:dyDescent="0.3">
      <c r="A3">
        <v>1</v>
      </c>
      <c r="B3">
        <v>4.3333333333333335E-2</v>
      </c>
      <c r="C3">
        <v>0.22</v>
      </c>
      <c r="D3">
        <v>0.22</v>
      </c>
      <c r="E3" t="s">
        <v>1558</v>
      </c>
    </row>
    <row r="4" spans="1:5" x14ac:dyDescent="0.3">
      <c r="A4">
        <v>2</v>
      </c>
      <c r="B4">
        <v>4.3333333333333335E-2</v>
      </c>
      <c r="C4">
        <v>0.22</v>
      </c>
      <c r="D4">
        <v>0.22</v>
      </c>
      <c r="E4" t="s">
        <v>1558</v>
      </c>
    </row>
    <row r="5" spans="1:5" x14ac:dyDescent="0.3">
      <c r="A5">
        <v>3</v>
      </c>
      <c r="B5">
        <v>4.3333333333333335E-2</v>
      </c>
      <c r="C5">
        <v>0.22</v>
      </c>
      <c r="D5">
        <v>0.22</v>
      </c>
      <c r="E5" t="s">
        <v>1558</v>
      </c>
    </row>
    <row r="6" spans="1:5" x14ac:dyDescent="0.3">
      <c r="A6">
        <v>4</v>
      </c>
      <c r="B6">
        <v>4.3333333333333335E-2</v>
      </c>
      <c r="C6">
        <v>0.22</v>
      </c>
      <c r="D6">
        <v>0.22</v>
      </c>
      <c r="E6" t="s">
        <v>1558</v>
      </c>
    </row>
    <row r="7" spans="1:5" x14ac:dyDescent="0.3">
      <c r="A7">
        <v>5</v>
      </c>
      <c r="B7">
        <v>4.3333333333333335E-2</v>
      </c>
      <c r="C7">
        <v>0.22</v>
      </c>
      <c r="D7">
        <v>0.22</v>
      </c>
      <c r="E7" t="s">
        <v>1558</v>
      </c>
    </row>
    <row r="8" spans="1:5" x14ac:dyDescent="0.3">
      <c r="A8">
        <v>6</v>
      </c>
      <c r="B8">
        <v>4.3333333333333335E-2</v>
      </c>
      <c r="C8">
        <v>0.22</v>
      </c>
      <c r="D8">
        <v>0.22</v>
      </c>
      <c r="E8" t="s">
        <v>1558</v>
      </c>
    </row>
    <row r="9" spans="1:5" x14ac:dyDescent="0.3">
      <c r="A9">
        <v>7</v>
      </c>
      <c r="B9">
        <v>4.3333333333333335E-2</v>
      </c>
      <c r="C9">
        <v>0.22</v>
      </c>
      <c r="D9">
        <v>0.22</v>
      </c>
      <c r="E9" t="s">
        <v>1558</v>
      </c>
    </row>
    <row r="10" spans="1:5" x14ac:dyDescent="0.3">
      <c r="A10">
        <v>8</v>
      </c>
      <c r="B10">
        <v>4.3333333333333335E-2</v>
      </c>
      <c r="C10">
        <v>0.22</v>
      </c>
      <c r="D10">
        <v>0.22</v>
      </c>
      <c r="E10" t="s">
        <v>1558</v>
      </c>
    </row>
    <row r="11" spans="1:5" x14ac:dyDescent="0.3">
      <c r="A11">
        <v>9</v>
      </c>
      <c r="B11">
        <v>4.3333333333333335E-2</v>
      </c>
      <c r="C11">
        <v>0.22</v>
      </c>
      <c r="D11">
        <v>0.22</v>
      </c>
      <c r="E11" t="s">
        <v>1558</v>
      </c>
    </row>
    <row r="12" spans="1:5" x14ac:dyDescent="0.3">
      <c r="A12">
        <v>10</v>
      </c>
      <c r="B12">
        <v>4.3333333333333335E-2</v>
      </c>
      <c r="C12">
        <v>0.22</v>
      </c>
      <c r="D12">
        <v>0.22</v>
      </c>
      <c r="E12" t="s">
        <v>1558</v>
      </c>
    </row>
    <row r="13" spans="1:5" x14ac:dyDescent="0.3">
      <c r="A13">
        <v>11</v>
      </c>
      <c r="B13">
        <v>4.3333333333333335E-2</v>
      </c>
      <c r="C13">
        <v>0.22</v>
      </c>
      <c r="D13">
        <v>0.22</v>
      </c>
      <c r="E13" t="s">
        <v>1558</v>
      </c>
    </row>
    <row r="14" spans="1:5" x14ac:dyDescent="0.3">
      <c r="A14">
        <v>12</v>
      </c>
      <c r="B14">
        <v>4.3333333333333335E-2</v>
      </c>
      <c r="C14">
        <v>0.22</v>
      </c>
      <c r="D14">
        <v>0.22</v>
      </c>
      <c r="E14" t="s">
        <v>1558</v>
      </c>
    </row>
    <row r="15" spans="1:5" x14ac:dyDescent="0.3">
      <c r="A15">
        <v>13</v>
      </c>
      <c r="B15">
        <v>4.3333333333333335E-2</v>
      </c>
      <c r="C15">
        <v>0.22</v>
      </c>
      <c r="D15">
        <v>0.22</v>
      </c>
      <c r="E15" t="s">
        <v>1558</v>
      </c>
    </row>
    <row r="16" spans="1:5" x14ac:dyDescent="0.3">
      <c r="A16">
        <v>14</v>
      </c>
      <c r="B16">
        <v>4.3333333333333335E-2</v>
      </c>
      <c r="C16">
        <v>0.22</v>
      </c>
      <c r="D16">
        <v>0.22</v>
      </c>
      <c r="E16" t="s">
        <v>1558</v>
      </c>
    </row>
    <row r="17" spans="1:5" x14ac:dyDescent="0.3">
      <c r="A17">
        <v>15</v>
      </c>
      <c r="B17">
        <v>4.3333333333333335E-2</v>
      </c>
      <c r="C17">
        <v>0.22</v>
      </c>
      <c r="D17">
        <v>0.22</v>
      </c>
      <c r="E17" t="s">
        <v>1558</v>
      </c>
    </row>
    <row r="18" spans="1:5" x14ac:dyDescent="0.3">
      <c r="A18">
        <v>16</v>
      </c>
      <c r="B18">
        <v>4.3333333333333335E-2</v>
      </c>
      <c r="C18">
        <v>0.22</v>
      </c>
      <c r="D18">
        <v>0.22</v>
      </c>
      <c r="E18" t="s">
        <v>1558</v>
      </c>
    </row>
    <row r="19" spans="1:5" x14ac:dyDescent="0.3">
      <c r="A19">
        <v>17</v>
      </c>
      <c r="B19">
        <v>4.3333333333333335E-2</v>
      </c>
      <c r="C19">
        <v>0.22</v>
      </c>
      <c r="D19">
        <v>0.22</v>
      </c>
      <c r="E19" t="s">
        <v>1558</v>
      </c>
    </row>
    <row r="20" spans="1:5" x14ac:dyDescent="0.3">
      <c r="A20">
        <v>18</v>
      </c>
      <c r="B20">
        <v>4.3333333333333335E-2</v>
      </c>
      <c r="C20">
        <v>0.22</v>
      </c>
      <c r="D20">
        <v>0.22</v>
      </c>
      <c r="E20" t="s">
        <v>1558</v>
      </c>
    </row>
    <row r="21" spans="1:5" x14ac:dyDescent="0.3">
      <c r="A21">
        <v>19</v>
      </c>
      <c r="B21">
        <v>4.3333333333333335E-2</v>
      </c>
      <c r="C21">
        <v>0.22</v>
      </c>
      <c r="D21">
        <v>0.22</v>
      </c>
      <c r="E21" t="s">
        <v>1558</v>
      </c>
    </row>
    <row r="22" spans="1:5" x14ac:dyDescent="0.3">
      <c r="A22">
        <v>20</v>
      </c>
      <c r="B22">
        <v>4.3333333333333335E-2</v>
      </c>
      <c r="C22">
        <v>0.22</v>
      </c>
      <c r="D22">
        <v>0.22</v>
      </c>
      <c r="E22" t="s">
        <v>1558</v>
      </c>
    </row>
    <row r="23" spans="1:5" x14ac:dyDescent="0.3">
      <c r="A23">
        <v>21</v>
      </c>
      <c r="B23">
        <v>4.3333333333333335E-2</v>
      </c>
      <c r="C23">
        <v>0.22</v>
      </c>
      <c r="D23">
        <v>0.22</v>
      </c>
      <c r="E23" t="s">
        <v>1558</v>
      </c>
    </row>
    <row r="24" spans="1:5" x14ac:dyDescent="0.3">
      <c r="A24">
        <v>22</v>
      </c>
      <c r="B24">
        <v>4.3333333333333335E-2</v>
      </c>
      <c r="C24">
        <v>0.22</v>
      </c>
      <c r="D24">
        <v>0.22</v>
      </c>
      <c r="E24" t="s">
        <v>1558</v>
      </c>
    </row>
    <row r="25" spans="1:5" x14ac:dyDescent="0.3">
      <c r="A25">
        <v>23</v>
      </c>
      <c r="B25">
        <v>4.3333333333333335E-2</v>
      </c>
      <c r="C25">
        <v>0.22</v>
      </c>
      <c r="D25">
        <v>0.22</v>
      </c>
      <c r="E25" t="s">
        <v>1558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BE06-CB97-44C6-B28E-94D933B055C8}">
  <sheetPr codeName="Tabelle2"/>
  <dimension ref="A2:B8"/>
  <sheetViews>
    <sheetView workbookViewId="0">
      <selection activeCell="B3" sqref="B3"/>
    </sheetView>
  </sheetViews>
  <sheetFormatPr baseColWidth="10" defaultRowHeight="14.4" x14ac:dyDescent="0.3"/>
  <cols>
    <col min="1" max="1" width="24.6640625" bestFit="1" customWidth="1"/>
    <col min="2" max="2" width="15.6640625" customWidth="1"/>
  </cols>
  <sheetData>
    <row r="2" spans="1:2" x14ac:dyDescent="0.3">
      <c r="A2" t="s">
        <v>0</v>
      </c>
      <c r="B2" s="1" t="s">
        <v>1647</v>
      </c>
    </row>
    <row r="3" spans="1:2" x14ac:dyDescent="0.3">
      <c r="A3" t="s">
        <v>1</v>
      </c>
      <c r="B3" s="1"/>
    </row>
    <row r="8" spans="1:2" x14ac:dyDescent="0.3">
      <c r="A8" t="s">
        <v>2</v>
      </c>
      <c r="B8" s="1" t="s">
        <v>1647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SheetAsCleanUTF8CSV">
                <anchor moveWithCells="1" sizeWithCells="1">
                  <from>
                    <xdr:col>2</xdr:col>
                    <xdr:colOff>480060</xdr:colOff>
                    <xdr:row>0</xdr:row>
                    <xdr:rowOff>160020</xdr:rowOff>
                  </from>
                  <to>
                    <xdr:col>4</xdr:col>
                    <xdr:colOff>403860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mportCSV">
                <anchor moveWithCells="1" sizeWithCells="1">
                  <from>
                    <xdr:col>2</xdr:col>
                    <xdr:colOff>525780</xdr:colOff>
                    <xdr:row>6</xdr:row>
                    <xdr:rowOff>106680</xdr:rowOff>
                  </from>
                  <to>
                    <xdr:col>4</xdr:col>
                    <xdr:colOff>274320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6771D67E9AD9A479B2DB2075AB77E1A" ma:contentTypeVersion="16" ma:contentTypeDescription="Ein neues Dokument erstellen." ma:contentTypeScope="" ma:versionID="428089d364769bb1b4172b561dbb8cd2">
  <xsd:schema xmlns:xsd="http://www.w3.org/2001/XMLSchema" xmlns:xs="http://www.w3.org/2001/XMLSchema" xmlns:p="http://schemas.microsoft.com/office/2006/metadata/properties" xmlns:ns2="a6b62d7a-dd09-46e4-b53c-18efd117aad1" xmlns:ns3="af56a8d8-8409-452c-af23-431516952e37" targetNamespace="http://schemas.microsoft.com/office/2006/metadata/properties" ma:root="true" ma:fieldsID="e59f1114fcf1fa9f27bb02d883a380b2" ns2:_="" ns3:_="">
    <xsd:import namespace="a6b62d7a-dd09-46e4-b53c-18efd117aad1"/>
    <xsd:import namespace="af56a8d8-8409-452c-af23-431516952e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b62d7a-dd09-46e4-b53c-18efd117a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Bildmarkierungen" ma:readOnly="false" ma:fieldId="{5cf76f15-5ced-4ddc-b409-7134ff3c332f}" ma:taxonomyMulti="true" ma:sspId="e635386d-4e9f-4f60-8e77-bf8228f41c1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56a8d8-8409-452c-af23-431516952e3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8958c5b-70da-488d-893d-584e409d922e}" ma:internalName="TaxCatchAll" ma:showField="CatchAllData" ma:web="af56a8d8-8409-452c-af23-431516952e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b62d7a-dd09-46e4-b53c-18efd117aad1">
      <Terms xmlns="http://schemas.microsoft.com/office/infopath/2007/PartnerControls"/>
    </lcf76f155ced4ddcb4097134ff3c332f>
    <TaxCatchAll xmlns="af56a8d8-8409-452c-af23-431516952e37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8B7B33-2B35-448C-80D2-795C8D78C6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b62d7a-dd09-46e4-b53c-18efd117aad1"/>
    <ds:schemaRef ds:uri="af56a8d8-8409-452c-af23-431516952e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00C2C6-BC3B-4E57-9485-A6361D780577}">
  <ds:schemaRefs>
    <ds:schemaRef ds:uri="http://schemas.microsoft.com/office/2006/metadata/properties"/>
    <ds:schemaRef ds:uri="http://schemas.microsoft.com/office/infopath/2007/PartnerControls"/>
    <ds:schemaRef ds:uri="a6b62d7a-dd09-46e4-b53c-18efd117aad1"/>
    <ds:schemaRef ds:uri="af56a8d8-8409-452c-af23-431516952e37"/>
  </ds:schemaRefs>
</ds:datastoreItem>
</file>

<file path=customXml/itemProps3.xml><?xml version="1.0" encoding="utf-8"?>
<ds:datastoreItem xmlns:ds="http://schemas.openxmlformats.org/officeDocument/2006/customXml" ds:itemID="{B567C62B-E064-4021-A579-B68B780A710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315A4A8-D049-4BEF-9CDB-514C9829131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23</vt:i4>
      </vt:variant>
    </vt:vector>
  </HeadingPairs>
  <TitlesOfParts>
    <vt:vector size="23" baseType="lpstr">
      <vt:lpstr>Tabelle2</vt:lpstr>
      <vt:lpstr>WWR</vt:lpstr>
      <vt:lpstr>CONSTRUCTION_TYPES</vt:lpstr>
      <vt:lpstr>ENVELOPE_FLOOR</vt:lpstr>
      <vt:lpstr>ENVELOPE_MASS</vt:lpstr>
      <vt:lpstr>ENVELOPE_ROOF</vt:lpstr>
      <vt:lpstr>ENVELOPE_SHADING</vt:lpstr>
      <vt:lpstr>ENVELOPE_TIGHTNESS</vt:lpstr>
      <vt:lpstr>ENVELOPE_WALL</vt:lpstr>
      <vt:lpstr>ENVELOPE_WINDOW</vt:lpstr>
      <vt:lpstr>HVAC_HEATING</vt:lpstr>
      <vt:lpstr>HVAC_COOLING</vt:lpstr>
      <vt:lpstr>HVAC_HOTWATER</vt:lpstr>
      <vt:lpstr>HVAC_CONTROLLER</vt:lpstr>
      <vt:lpstr>HVAC_VENTILATION</vt:lpstr>
      <vt:lpstr>SUPPLY_COOLING</vt:lpstr>
      <vt:lpstr>SUPPLY_ELECTRICITY</vt:lpstr>
      <vt:lpstr>SUPPLY_HEATING</vt:lpstr>
      <vt:lpstr>SUPPLY_HOTWATER</vt:lpstr>
      <vt:lpstr>ENERGY_CARRIERS</vt:lpstr>
      <vt:lpstr>GRID</vt:lpstr>
      <vt:lpstr>GRID_AT</vt:lpstr>
      <vt:lpstr>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Drexel</dc:creator>
  <cp:lastModifiedBy>Raphael Drexel</cp:lastModifiedBy>
  <dcterms:created xsi:type="dcterms:W3CDTF">2015-06-05T18:19:34Z</dcterms:created>
  <dcterms:modified xsi:type="dcterms:W3CDTF">2025-11-25T13:39:37Z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0x01010056771D67E9AD9A479B2DB2075AB77E1A</vt:lpwstr>
  </property>
</Properties>
</file>